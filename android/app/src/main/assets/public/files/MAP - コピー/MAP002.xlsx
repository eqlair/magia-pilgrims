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MAP - コピー\"/>
    </mc:Choice>
  </mc:AlternateContent>
  <xr:revisionPtr revIDLastSave="0" documentId="13_ncr:1_{DB9E39FE-A63D-44F0-88D7-AD487B1D10EE}" xr6:coauthVersionLast="47" xr6:coauthVersionMax="47" xr10:uidLastSave="{00000000-0000-0000-0000-000000000000}"/>
  <bookViews>
    <workbookView xWindow="2595" yWindow="585" windowWidth="26205" windowHeight="14850" activeTab="2" xr2:uid="{38351AC5-F874-4B4A-BA41-290077078325}"/>
  </bookViews>
  <sheets>
    <sheet name="MAP" sheetId="3" r:id="rId1"/>
    <sheet name="MAP_ELV" sheetId="6" r:id="rId2"/>
    <sheet name="Sheet1" sheetId="7" r:id="rId3"/>
    <sheet name="visual" sheetId="5"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7" l="1"/>
  <c r="D4" i="7"/>
  <c r="D5" i="7"/>
  <c r="D6" i="7"/>
  <c r="D7" i="7"/>
  <c r="D8" i="7"/>
  <c r="D9" i="7"/>
  <c r="D10" i="7"/>
  <c r="D2" i="7"/>
  <c r="L44" i="7"/>
  <c r="M44" i="7"/>
  <c r="L45" i="7"/>
  <c r="M45" i="7"/>
  <c r="L46" i="7"/>
  <c r="M46" i="7"/>
  <c r="L47" i="7"/>
  <c r="M47" i="7"/>
  <c r="L48" i="7"/>
  <c r="M48" i="7"/>
  <c r="L49" i="7"/>
  <c r="M49" i="7"/>
  <c r="L50" i="7"/>
  <c r="M50" i="7"/>
  <c r="L51" i="7"/>
  <c r="M51" i="7"/>
  <c r="L52" i="7"/>
  <c r="M52" i="7"/>
  <c r="L53" i="7"/>
  <c r="M53" i="7"/>
  <c r="L54" i="7"/>
  <c r="M54" i="7"/>
  <c r="L55" i="7"/>
  <c r="M55" i="7"/>
  <c r="L56" i="7"/>
  <c r="M56" i="7"/>
  <c r="L57" i="7"/>
  <c r="M57" i="7"/>
  <c r="L58" i="7"/>
  <c r="M58" i="7"/>
  <c r="L59" i="7"/>
  <c r="M59" i="7"/>
  <c r="L60" i="7"/>
  <c r="M60" i="7"/>
  <c r="L61" i="7"/>
  <c r="M61" i="7"/>
  <c r="L62" i="7"/>
  <c r="M62" i="7"/>
  <c r="L63" i="7"/>
  <c r="M63" i="7"/>
  <c r="L64" i="7"/>
  <c r="M64" i="7"/>
  <c r="L65" i="7"/>
  <c r="M65" i="7"/>
  <c r="L66" i="7"/>
  <c r="M66" i="7"/>
  <c r="L67" i="7"/>
  <c r="M67" i="7"/>
  <c r="L68" i="7"/>
  <c r="M68" i="7"/>
  <c r="L69" i="7"/>
  <c r="M69" i="7"/>
  <c r="L70" i="7"/>
  <c r="M70" i="7"/>
  <c r="L71" i="7"/>
  <c r="M71" i="7"/>
  <c r="L72" i="7"/>
  <c r="M72" i="7"/>
  <c r="L73" i="7"/>
  <c r="M73"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14"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15" i="7"/>
  <c r="L14" i="7"/>
  <c r="B17" i="7"/>
  <c r="C17" i="7"/>
  <c r="D17" i="7"/>
  <c r="E17" i="7"/>
  <c r="F17" i="7"/>
  <c r="B18" i="7"/>
  <c r="C18" i="7"/>
  <c r="D18" i="7"/>
  <c r="E18" i="7"/>
  <c r="F18" i="7"/>
  <c r="B19" i="7"/>
  <c r="C19" i="7"/>
  <c r="D19" i="7"/>
  <c r="E19" i="7"/>
  <c r="F19" i="7"/>
  <c r="B20" i="7"/>
  <c r="C20" i="7"/>
  <c r="D20" i="7"/>
  <c r="E20" i="7"/>
  <c r="F20" i="7"/>
  <c r="B21" i="7"/>
  <c r="C21" i="7"/>
  <c r="D21" i="7"/>
  <c r="E21" i="7"/>
  <c r="F21" i="7"/>
  <c r="B22" i="7"/>
  <c r="C22" i="7"/>
  <c r="D22" i="7"/>
  <c r="E22" i="7"/>
  <c r="F22" i="7"/>
  <c r="B23" i="7"/>
  <c r="C23" i="7"/>
  <c r="D23" i="7"/>
  <c r="E23" i="7"/>
  <c r="F23" i="7"/>
  <c r="B24" i="7"/>
  <c r="C24" i="7"/>
  <c r="D24" i="7"/>
  <c r="E24" i="7"/>
  <c r="F24" i="7"/>
  <c r="B25" i="7"/>
  <c r="C25" i="7"/>
  <c r="D25" i="7"/>
  <c r="E25" i="7"/>
  <c r="F25" i="7"/>
  <c r="B16" i="7"/>
  <c r="C16" i="7"/>
  <c r="D16" i="7"/>
  <c r="E16" i="7"/>
  <c r="F16" i="7"/>
  <c r="C15" i="7"/>
  <c r="D15" i="7"/>
  <c r="E15" i="7"/>
  <c r="F15" i="7"/>
  <c r="B15" i="7"/>
  <c r="A57" i="5"/>
  <c r="C57" i="5"/>
  <c r="E57" i="5"/>
  <c r="G57" i="5"/>
  <c r="I57" i="5"/>
  <c r="B58" i="5"/>
  <c r="D58" i="5"/>
  <c r="F58" i="5"/>
  <c r="H58" i="5"/>
  <c r="A59" i="5"/>
  <c r="C59" i="5"/>
  <c r="E59" i="5"/>
  <c r="G59" i="5"/>
  <c r="I59" i="5"/>
  <c r="B60" i="5"/>
  <c r="D60" i="5"/>
  <c r="F60" i="5"/>
  <c r="H60" i="5"/>
  <c r="A13" i="5"/>
  <c r="C13" i="5"/>
  <c r="E13" i="5"/>
  <c r="G13" i="5"/>
  <c r="I13" i="5"/>
  <c r="B14" i="5"/>
  <c r="D14" i="5"/>
  <c r="F14" i="5"/>
  <c r="H14" i="5"/>
  <c r="A15" i="5"/>
  <c r="C15" i="5"/>
  <c r="E15" i="5"/>
  <c r="G15" i="5"/>
  <c r="I15" i="5"/>
  <c r="B16" i="5"/>
  <c r="D16" i="5"/>
  <c r="F16" i="5"/>
  <c r="H16" i="5"/>
  <c r="A17" i="5"/>
  <c r="C17" i="5"/>
  <c r="E17" i="5"/>
  <c r="G17" i="5"/>
  <c r="I17" i="5"/>
  <c r="B18" i="5"/>
  <c r="D18" i="5"/>
  <c r="F18" i="5"/>
  <c r="H18" i="5"/>
  <c r="A19" i="5"/>
  <c r="C19" i="5"/>
  <c r="E19" i="5"/>
  <c r="G19" i="5"/>
  <c r="I19" i="5"/>
  <c r="B20" i="5"/>
  <c r="D20" i="5"/>
  <c r="F20" i="5"/>
  <c r="H20" i="5"/>
  <c r="A21" i="5"/>
  <c r="C21" i="5"/>
  <c r="E21" i="5"/>
  <c r="G21" i="5"/>
  <c r="I21" i="5"/>
  <c r="B22" i="5"/>
  <c r="D22" i="5"/>
  <c r="F22" i="5"/>
  <c r="H22" i="5"/>
  <c r="A23" i="5"/>
  <c r="C23" i="5"/>
  <c r="E23" i="5"/>
  <c r="G23" i="5"/>
  <c r="I23" i="5"/>
  <c r="B24" i="5"/>
  <c r="D24" i="5"/>
  <c r="F24" i="5"/>
  <c r="H24" i="5"/>
  <c r="A25" i="5"/>
  <c r="C25" i="5"/>
  <c r="E25" i="5"/>
  <c r="G25" i="5"/>
  <c r="I25" i="5"/>
  <c r="B26" i="5"/>
  <c r="D26" i="5"/>
  <c r="F26" i="5"/>
  <c r="H26" i="5"/>
  <c r="A27" i="5"/>
  <c r="C27" i="5"/>
  <c r="E27" i="5"/>
  <c r="G27" i="5"/>
  <c r="I27" i="5"/>
  <c r="B28" i="5"/>
  <c r="D28" i="5"/>
  <c r="F28" i="5"/>
  <c r="H28" i="5"/>
  <c r="A29" i="5"/>
  <c r="C29" i="5"/>
  <c r="E29" i="5"/>
  <c r="G29" i="5"/>
  <c r="I29" i="5"/>
  <c r="B30" i="5"/>
  <c r="D30" i="5"/>
  <c r="F30" i="5"/>
  <c r="H30" i="5"/>
  <c r="A31" i="5"/>
  <c r="C31" i="5"/>
  <c r="E31" i="5"/>
  <c r="G31" i="5"/>
  <c r="I31" i="5"/>
  <c r="B32" i="5"/>
  <c r="D32" i="5"/>
  <c r="F32" i="5"/>
  <c r="H32" i="5"/>
  <c r="A33" i="5"/>
  <c r="C33" i="5"/>
  <c r="E33" i="5"/>
  <c r="G33" i="5"/>
  <c r="I33" i="5"/>
  <c r="B34" i="5"/>
  <c r="D34" i="5"/>
  <c r="F34" i="5"/>
  <c r="H34" i="5"/>
  <c r="A35" i="5"/>
  <c r="C35" i="5"/>
  <c r="E35" i="5"/>
  <c r="G35" i="5"/>
  <c r="I35" i="5"/>
  <c r="B36" i="5"/>
  <c r="D36" i="5"/>
  <c r="F36" i="5"/>
  <c r="H36" i="5"/>
  <c r="A37" i="5"/>
  <c r="C37" i="5"/>
  <c r="E37" i="5"/>
  <c r="G37" i="5"/>
  <c r="I37" i="5"/>
  <c r="B38" i="5"/>
  <c r="D38" i="5"/>
  <c r="F38" i="5"/>
  <c r="H38" i="5"/>
  <c r="A39" i="5"/>
  <c r="C39" i="5"/>
  <c r="E39" i="5"/>
  <c r="G39" i="5"/>
  <c r="I39" i="5"/>
  <c r="B40" i="5"/>
  <c r="D40" i="5"/>
  <c r="F40" i="5"/>
  <c r="H40" i="5"/>
  <c r="A41" i="5"/>
  <c r="C41" i="5"/>
  <c r="E41" i="5"/>
  <c r="G41" i="5"/>
  <c r="I41" i="5"/>
  <c r="B42" i="5"/>
  <c r="D42" i="5"/>
  <c r="F42" i="5"/>
  <c r="H42" i="5"/>
  <c r="A43" i="5"/>
  <c r="C43" i="5"/>
  <c r="E43" i="5"/>
  <c r="G43" i="5"/>
  <c r="I43" i="5"/>
  <c r="B44" i="5"/>
  <c r="D44" i="5"/>
  <c r="F44" i="5"/>
  <c r="H44" i="5"/>
  <c r="A45" i="5"/>
  <c r="C45" i="5"/>
  <c r="E45" i="5"/>
  <c r="G45" i="5"/>
  <c r="I45" i="5"/>
  <c r="B46" i="5"/>
  <c r="D46" i="5"/>
  <c r="F46" i="5"/>
  <c r="H46" i="5"/>
  <c r="A47" i="5"/>
  <c r="C47" i="5"/>
  <c r="E47" i="5"/>
  <c r="G47" i="5"/>
  <c r="I47" i="5"/>
  <c r="B48" i="5"/>
  <c r="D48" i="5"/>
  <c r="F48" i="5"/>
  <c r="H48" i="5"/>
  <c r="A49" i="5"/>
  <c r="C49" i="5"/>
  <c r="E49" i="5"/>
  <c r="G49" i="5"/>
  <c r="I49" i="5"/>
  <c r="B50" i="5"/>
  <c r="D50" i="5"/>
  <c r="F50" i="5"/>
  <c r="H50" i="5"/>
  <c r="A51" i="5"/>
  <c r="C51" i="5"/>
  <c r="E51" i="5"/>
  <c r="G51" i="5"/>
  <c r="I51" i="5"/>
  <c r="B52" i="5"/>
  <c r="D52" i="5"/>
  <c r="F52" i="5"/>
  <c r="H52" i="5"/>
  <c r="A53" i="5"/>
  <c r="C53" i="5"/>
  <c r="E53" i="5"/>
  <c r="G53" i="5"/>
  <c r="I53" i="5"/>
  <c r="B54" i="5"/>
  <c r="D54" i="5"/>
  <c r="F54" i="5"/>
  <c r="H54" i="5"/>
  <c r="A55" i="5"/>
  <c r="C55" i="5"/>
  <c r="E55" i="5"/>
  <c r="G55" i="5"/>
  <c r="I55" i="5"/>
  <c r="B56" i="5"/>
  <c r="D56" i="5"/>
  <c r="F56" i="5"/>
  <c r="H56" i="5"/>
  <c r="C1" i="5"/>
  <c r="H12" i="5"/>
  <c r="F12" i="5"/>
  <c r="D12" i="5"/>
  <c r="B12" i="5"/>
  <c r="I11" i="5"/>
  <c r="G11" i="5"/>
  <c r="E11" i="5"/>
  <c r="C11" i="5"/>
  <c r="A11" i="5"/>
  <c r="H10" i="5"/>
  <c r="F10" i="5"/>
  <c r="D10" i="5"/>
  <c r="B10" i="5"/>
  <c r="I9" i="5"/>
  <c r="G9" i="5"/>
  <c r="E9" i="5"/>
  <c r="C9" i="5"/>
  <c r="A9" i="5"/>
  <c r="H8" i="5"/>
  <c r="F8" i="5"/>
  <c r="D8" i="5"/>
  <c r="B8" i="5"/>
  <c r="I7" i="5"/>
  <c r="G7" i="5"/>
  <c r="E7" i="5"/>
  <c r="C7" i="5"/>
  <c r="A7" i="5"/>
  <c r="H6" i="5"/>
  <c r="F6" i="5"/>
  <c r="D6" i="5"/>
  <c r="B6" i="5"/>
  <c r="I5" i="5"/>
  <c r="G5" i="5"/>
  <c r="E5" i="5"/>
  <c r="C5" i="5"/>
  <c r="A5" i="5"/>
  <c r="H4" i="5"/>
  <c r="F4" i="5"/>
  <c r="D4" i="5"/>
  <c r="B4" i="5"/>
  <c r="I3" i="5"/>
  <c r="G3" i="5"/>
  <c r="E3" i="5"/>
  <c r="C3" i="5"/>
  <c r="A3" i="5"/>
  <c r="B2" i="5"/>
  <c r="D2" i="5"/>
  <c r="H2" i="5"/>
  <c r="F2" i="5"/>
  <c r="I1" i="5"/>
  <c r="G1" i="5"/>
  <c r="E1" i="5"/>
  <c r="A1" i="5"/>
</calcChain>
</file>

<file path=xl/sharedStrings.xml><?xml version="1.0" encoding="utf-8"?>
<sst xmlns="http://schemas.openxmlformats.org/spreadsheetml/2006/main" count="500" uniqueCount="152">
  <si>
    <t>##このページは人間が確認するための疑似ヘクスマップ</t>
    <rPh sb="8" eb="10">
      <t>ニンゲン</t>
    </rPh>
    <rPh sb="11" eb="13">
      <t>カクニン</t>
    </rPh>
    <rPh sb="18" eb="20">
      <t>ギジ</t>
    </rPh>
    <phoneticPr fontId="1"/>
  </si>
  <si>
    <t>アドベンチャーパートのヘクスマップ上を歩くデモを作るか。　マップデータは　"C:\Users\user\.antigravity\game\files\MAP\MAP001.xlsx"　のひとつめのタブにある。　これの偶数行めを半マスずらして配置するヘクス上のマップになる。模式図でこんな感じになる。(添付画像)　マップの中心にキャラクタ(紫苑)もミニキャラがいて、画面横向きには５へクス程度の範囲が表示される。　ヘクスをタップするとキャラクターがジャンプして移動する。</t>
  </si>
  <si>
    <t>マップには一旦水域を水色、密林は緑色で塗っておいてもらおうか、落ち着いたら画像ファイルを表示するようにするので対応できるようにしておいて。　マップの各ヘクスには、１踏破したかどうか　２潜んでいる敵のレベル　３潜んでいる魔女のレベル　というデータがあります。平行して作っておいてください。いまのところは全て０　(未踏破、敵いない、魔女いない）で埋めておいて。　タイトルから一歩入ったあとに表示されるメニューにマップデモ　として入口を作って。</t>
  </si>
  <si>
    <t>fieldフォルダにm(a,1)r.jpg　のような画像がある。a,1はエクセル上の座標(0始まりではない)　a,1のヘクスの背景にその画像を使う。</t>
    <rPh sb="26" eb="28">
      <t>ガゾウ</t>
    </rPh>
    <rPh sb="40" eb="41">
      <t>ジョウ</t>
    </rPh>
    <rPh sb="42" eb="44">
      <t>ザヒョウ</t>
    </rPh>
    <rPh sb="46" eb="47">
      <t>ハジ</t>
    </rPh>
    <phoneticPr fontId="1"/>
  </si>
  <si>
    <t>横9ヘクスまで見える広域マップボタンも搭載</t>
    <rPh sb="0" eb="1">
      <t>ヨコ</t>
    </rPh>
    <rPh sb="7" eb="8">
      <t>ミ</t>
    </rPh>
    <rPh sb="10" eb="12">
      <t>コウイキ</t>
    </rPh>
    <rPh sb="19" eb="21">
      <t>トウサイ</t>
    </rPh>
    <phoneticPr fontId="1"/>
  </si>
  <si>
    <t>移動のルール</t>
    <rPh sb="0" eb="2">
      <t>イドウ</t>
    </rPh>
    <phoneticPr fontId="1"/>
  </si>
  <si>
    <t>踏破済のエリアか、隣接したことのある水域、密林エリアの画像が表示される。</t>
    <rPh sb="0" eb="2">
      <t>トウハ</t>
    </rPh>
    <rPh sb="2" eb="3">
      <t>スミ</t>
    </rPh>
    <rPh sb="9" eb="11">
      <t>リンセツ</t>
    </rPh>
    <rPh sb="18" eb="20">
      <t>スイイキ</t>
    </rPh>
    <rPh sb="21" eb="23">
      <t>ミツリン</t>
    </rPh>
    <rPh sb="27" eb="29">
      <t>ガゾウ</t>
    </rPh>
    <rPh sb="30" eb="32">
      <t>ヒョウジ</t>
    </rPh>
    <phoneticPr fontId="1"/>
  </si>
  <si>
    <t>x1 などは汎用背景。m(x1).jpgを使用してください。密林はwoods 海はゲーム内時間が午前、午後の時はsea _day、夜の間はsea_nightを使用してください。未踏破m(unexplored).jpg</t>
    <rPh sb="6" eb="8">
      <t>ハンヨウ</t>
    </rPh>
    <rPh sb="8" eb="10">
      <t>ハイケイ</t>
    </rPh>
    <rPh sb="21" eb="23">
      <t>シヨウ</t>
    </rPh>
    <rPh sb="30" eb="32">
      <t>ミツリン</t>
    </rPh>
    <rPh sb="39" eb="40">
      <t>ウミ</t>
    </rPh>
    <rPh sb="44" eb="45">
      <t>ナイ</t>
    </rPh>
    <rPh sb="45" eb="47">
      <t>ジカン</t>
    </rPh>
    <rPh sb="48" eb="50">
      <t>ゴゼン</t>
    </rPh>
    <rPh sb="51" eb="53">
      <t>ゴゴ</t>
    </rPh>
    <rPh sb="54" eb="55">
      <t>トキ</t>
    </rPh>
    <rPh sb="65" eb="66">
      <t>ヨル</t>
    </rPh>
    <rPh sb="67" eb="68">
      <t>アイダ</t>
    </rPh>
    <rPh sb="79" eb="81">
      <t>シヨウ</t>
    </rPh>
    <rPh sb="88" eb="91">
      <t>ミトウハ</t>
    </rPh>
    <phoneticPr fontId="1"/>
  </si>
  <si>
    <t>隣接した未踏破のエリアはm(adjacent).jpgが表示される</t>
    <rPh sb="0" eb="2">
      <t>リンセツ</t>
    </rPh>
    <rPh sb="4" eb="7">
      <t>ミトウハ</t>
    </rPh>
    <rPh sb="28" eb="30">
      <t>ヒョウジ</t>
    </rPh>
    <phoneticPr fontId="1"/>
  </si>
  <si>
    <t>隣接していない未踏破のヘクスはm(unexplored).jpgが表示される。</t>
    <rPh sb="0" eb="2">
      <t>リンセツ</t>
    </rPh>
    <rPh sb="7" eb="10">
      <t>ミトウハ</t>
    </rPh>
    <rPh sb="33" eb="35">
      <t>ヒョウジ</t>
    </rPh>
    <phoneticPr fontId="1"/>
  </si>
  <si>
    <t>そのヘクスにいる敵の属性によってmap_eff1.jpg~map_eff5.jpg の敵に気配が見える。</t>
    <rPh sb="8" eb="9">
      <t>テキ</t>
    </rPh>
    <rPh sb="10" eb="12">
      <t>ゾクセイ</t>
    </rPh>
    <rPh sb="43" eb="44">
      <t>テキ</t>
    </rPh>
    <rPh sb="45" eb="47">
      <t>ケハイ</t>
    </rPh>
    <rPh sb="48" eb="49">
      <t>ミ</t>
    </rPh>
    <phoneticPr fontId="1"/>
  </si>
  <si>
    <t>map_effは背景画像の上に不透明度0～50%でゆらめいている。</t>
    <rPh sb="8" eb="10">
      <t>ハイケイ</t>
    </rPh>
    <rPh sb="10" eb="12">
      <t>ガゾウ</t>
    </rPh>
    <rPh sb="13" eb="14">
      <t>ウエ</t>
    </rPh>
    <rPh sb="15" eb="19">
      <t>フトウメイド</t>
    </rPh>
    <phoneticPr fontId="1"/>
  </si>
  <si>
    <t>top of tower</t>
    <phoneticPr fontId="1"/>
  </si>
  <si>
    <t>60f</t>
  </si>
  <si>
    <t>59f</t>
  </si>
  <si>
    <t>59f</t>
    <phoneticPr fontId="1"/>
  </si>
  <si>
    <t>58f</t>
  </si>
  <si>
    <t>57f</t>
  </si>
  <si>
    <t>56f</t>
  </si>
  <si>
    <t>55f</t>
  </si>
  <si>
    <t>54f</t>
  </si>
  <si>
    <t>53f</t>
  </si>
  <si>
    <t>52f</t>
  </si>
  <si>
    <t>51f</t>
  </si>
  <si>
    <t>50f</t>
  </si>
  <si>
    <t>49f</t>
  </si>
  <si>
    <t>48f</t>
  </si>
  <si>
    <t>47f</t>
  </si>
  <si>
    <t>46f</t>
  </si>
  <si>
    <t>45f</t>
  </si>
  <si>
    <t>44f</t>
  </si>
  <si>
    <t>43f</t>
  </si>
  <si>
    <t>42f</t>
  </si>
  <si>
    <t>41f</t>
  </si>
  <si>
    <t>40f</t>
  </si>
  <si>
    <t>39f</t>
  </si>
  <si>
    <t>38f</t>
  </si>
  <si>
    <t>37f</t>
  </si>
  <si>
    <t>36f</t>
  </si>
  <si>
    <t>35f</t>
  </si>
  <si>
    <t>34f</t>
  </si>
  <si>
    <t>33f</t>
  </si>
  <si>
    <t>32f</t>
  </si>
  <si>
    <t>31f</t>
  </si>
  <si>
    <t>30f</t>
  </si>
  <si>
    <t>29f</t>
  </si>
  <si>
    <t>28f</t>
  </si>
  <si>
    <t>27f</t>
  </si>
  <si>
    <t>26f</t>
  </si>
  <si>
    <t>25f</t>
  </si>
  <si>
    <t>24f</t>
  </si>
  <si>
    <t>23f</t>
  </si>
  <si>
    <t>22f</t>
  </si>
  <si>
    <t>21f</t>
  </si>
  <si>
    <t>20f</t>
  </si>
  <si>
    <t>19f</t>
  </si>
  <si>
    <t>18f</t>
  </si>
  <si>
    <t>17f</t>
  </si>
  <si>
    <t>16f</t>
  </si>
  <si>
    <t>15f</t>
  </si>
  <si>
    <t>14f</t>
  </si>
  <si>
    <t>13f</t>
  </si>
  <si>
    <t>12f</t>
  </si>
  <si>
    <t>11f</t>
  </si>
  <si>
    <t>10f</t>
  </si>
  <si>
    <t>9f</t>
  </si>
  <si>
    <t>8f</t>
  </si>
  <si>
    <t>7f</t>
  </si>
  <si>
    <t>6f</t>
  </si>
  <si>
    <t>5f</t>
  </si>
  <si>
    <t>4f</t>
  </si>
  <si>
    <t>3f</t>
  </si>
  <si>
    <t>ｲﾛ ｲｯｶｲﾂﾞﾂ</t>
    <phoneticPr fontId="1"/>
  </si>
  <si>
    <t>ボールダーエリア</t>
    <phoneticPr fontId="1"/>
  </si>
  <si>
    <t>ツリーランドエリア</t>
    <phoneticPr fontId="1"/>
  </si>
  <si>
    <t>スケルトンエリア</t>
    <phoneticPr fontId="1"/>
  </si>
  <si>
    <t>アイスランドエリア</t>
    <phoneticPr fontId="1"/>
  </si>
  <si>
    <t>フェイスエリア</t>
    <phoneticPr fontId="1"/>
  </si>
  <si>
    <t>ファイアーエリア</t>
    <phoneticPr fontId="1"/>
  </si>
  <si>
    <t>骨</t>
    <rPh sb="0" eb="1">
      <t>ホネ</t>
    </rPh>
    <phoneticPr fontId="1"/>
  </si>
  <si>
    <t>樹</t>
    <rPh sb="0" eb="1">
      <t>イツキ</t>
    </rPh>
    <phoneticPr fontId="1"/>
  </si>
  <si>
    <t>石</t>
    <rPh sb="0" eb="1">
      <t>イシ</t>
    </rPh>
    <phoneticPr fontId="1"/>
  </si>
  <si>
    <t>街</t>
    <rPh sb="0" eb="1">
      <t>マチ</t>
    </rPh>
    <phoneticPr fontId="1"/>
  </si>
  <si>
    <t>氷</t>
    <rPh sb="0" eb="1">
      <t>コオリ</t>
    </rPh>
    <phoneticPr fontId="1"/>
  </si>
  <si>
    <t>顔</t>
    <rPh sb="0" eb="1">
      <t>カオ</t>
    </rPh>
    <phoneticPr fontId="1"/>
  </si>
  <si>
    <t>炎</t>
    <rPh sb="0" eb="1">
      <t>ホノオ</t>
    </rPh>
    <phoneticPr fontId="1"/>
  </si>
  <si>
    <t>金</t>
    <rPh sb="0" eb="1">
      <t>キン</t>
    </rPh>
    <phoneticPr fontId="1"/>
  </si>
  <si>
    <t>異</t>
    <rPh sb="0" eb="1">
      <t>イ</t>
    </rPh>
    <phoneticPr fontId="1"/>
  </si>
  <si>
    <t>黒</t>
    <rPh sb="0" eb="1">
      <t>クロ</t>
    </rPh>
    <phoneticPr fontId="1"/>
  </si>
  <si>
    <t>赤</t>
    <rPh sb="0" eb="1">
      <t>アカ</t>
    </rPh>
    <phoneticPr fontId="1"/>
  </si>
  <si>
    <t>紫</t>
    <rPh sb="0" eb="1">
      <t>ムラサキ</t>
    </rPh>
    <phoneticPr fontId="1"/>
  </si>
  <si>
    <t>緑</t>
    <rPh sb="0" eb="1">
      <t>ミドリ</t>
    </rPh>
    <phoneticPr fontId="1"/>
  </si>
  <si>
    <t>黄</t>
    <rPh sb="0" eb="1">
      <t>キ</t>
    </rPh>
    <phoneticPr fontId="1"/>
  </si>
  <si>
    <t>青</t>
    <rPh sb="0" eb="1">
      <t>アオ</t>
    </rPh>
    <phoneticPr fontId="1"/>
  </si>
  <si>
    <t>あお</t>
    <phoneticPr fontId="1"/>
  </si>
  <si>
    <t>むら</t>
    <phoneticPr fontId="1"/>
  </si>
  <si>
    <t>きいろ</t>
    <phoneticPr fontId="1"/>
  </si>
  <si>
    <t>みど</t>
    <phoneticPr fontId="1"/>
  </si>
  <si>
    <t>あか</t>
    <phoneticPr fontId="1"/>
  </si>
  <si>
    <t>き</t>
    <phoneticPr fontId="1"/>
  </si>
  <si>
    <t>aka</t>
    <phoneticPr fontId="1"/>
  </si>
  <si>
    <t>ao</t>
    <phoneticPr fontId="1"/>
  </si>
  <si>
    <t>mura</t>
    <phoneticPr fontId="1"/>
  </si>
  <si>
    <t>mido</t>
    <phoneticPr fontId="1"/>
  </si>
  <si>
    <t>ki</t>
    <phoneticPr fontId="1"/>
  </si>
  <si>
    <t>タワーではヘクスごとに2ウェーブの戦闘を行う。</t>
    <rPh sb="17" eb="19">
      <t>セントウ</t>
    </rPh>
    <rPh sb="20" eb="21">
      <t>オコナ</t>
    </rPh>
    <phoneticPr fontId="1"/>
  </si>
  <si>
    <t>出現するタイプが2種類、合計出現数が決まっていて、どちらがどれだけ出てくるかはランダム</t>
    <rPh sb="0" eb="2">
      <t>シュツゲン</t>
    </rPh>
    <rPh sb="9" eb="10">
      <t>シュ</t>
    </rPh>
    <rPh sb="10" eb="11">
      <t>ルイ</t>
    </rPh>
    <rPh sb="12" eb="14">
      <t>ゴウケイ</t>
    </rPh>
    <rPh sb="14" eb="17">
      <t>シュツゲンスウ</t>
    </rPh>
    <rPh sb="18" eb="19">
      <t>キ</t>
    </rPh>
    <rPh sb="33" eb="34">
      <t>デ</t>
    </rPh>
    <phoneticPr fontId="1"/>
  </si>
  <si>
    <t>1f</t>
    <phoneticPr fontId="1"/>
  </si>
  <si>
    <t>2f</t>
    <phoneticPr fontId="1"/>
  </si>
  <si>
    <t>tanaka</t>
    <phoneticPr fontId="1"/>
  </si>
  <si>
    <t>いぬ</t>
    <phoneticPr fontId="1"/>
  </si>
  <si>
    <t>ちわ</t>
    <phoneticPr fontId="1"/>
  </si>
  <si>
    <t>海</t>
    <rPh sb="0" eb="1">
      <t>ウミ</t>
    </rPh>
    <phoneticPr fontId="1"/>
  </si>
  <si>
    <t>090-9863-4829</t>
    <phoneticPr fontId="1"/>
  </si>
  <si>
    <t>種類</t>
    <rPh sb="0" eb="2">
      <t>シュルイ</t>
    </rPh>
    <phoneticPr fontId="1"/>
  </si>
  <si>
    <t>出現敵</t>
    <rPh sb="0" eb="2">
      <t>シュツゲン</t>
    </rPh>
    <rPh sb="2" eb="3">
      <t>テキ</t>
    </rPh>
    <phoneticPr fontId="1"/>
  </si>
  <si>
    <t>生命力</t>
    <rPh sb="0" eb="3">
      <t>セイメイリョク</t>
    </rPh>
    <phoneticPr fontId="1"/>
  </si>
  <si>
    <t>移動速度</t>
    <rPh sb="0" eb="4">
      <t>イドウソクド</t>
    </rPh>
    <phoneticPr fontId="1"/>
  </si>
  <si>
    <t>移動距離(m)</t>
    <rPh sb="0" eb="2">
      <t>イドウ</t>
    </rPh>
    <rPh sb="2" eb="4">
      <t>キョリ</t>
    </rPh>
    <phoneticPr fontId="1"/>
  </si>
  <si>
    <t>移動間隔(秒)</t>
    <rPh sb="0" eb="2">
      <t>イドウ</t>
    </rPh>
    <rPh sb="2" eb="4">
      <t>カンカク</t>
    </rPh>
    <rPh sb="5" eb="6">
      <t>ビョウ</t>
    </rPh>
    <phoneticPr fontId="1"/>
  </si>
  <si>
    <t>攻撃射程(m)</t>
    <rPh sb="0" eb="4">
      <t>コウゲキシャテイ</t>
    </rPh>
    <phoneticPr fontId="1"/>
  </si>
  <si>
    <t>攻撃頻度</t>
    <rPh sb="0" eb="4">
      <t>コウゲキヒンド</t>
    </rPh>
    <phoneticPr fontId="1"/>
  </si>
  <si>
    <t>攻撃力</t>
    <rPh sb="0" eb="3">
      <t>コウゲキリョク</t>
    </rPh>
    <phoneticPr fontId="1"/>
  </si>
  <si>
    <t>重量</t>
    <rPh sb="0" eb="2">
      <t>ジュウリョウ</t>
    </rPh>
    <phoneticPr fontId="1"/>
  </si>
  <si>
    <t>デバフ抵抗</t>
    <rPh sb="3" eb="5">
      <t>テイコウ</t>
    </rPh>
    <phoneticPr fontId="1"/>
  </si>
  <si>
    <t>大きさ</t>
    <rPh sb="0" eb="1">
      <t>オオ</t>
    </rPh>
    <phoneticPr fontId="1"/>
  </si>
  <si>
    <t>テクスチャ</t>
  </si>
  <si>
    <t>フレーム</t>
  </si>
  <si>
    <t>スウォーム</t>
  </si>
  <si>
    <t>en003</t>
  </si>
  <si>
    <t>フライ</t>
  </si>
  <si>
    <t>スピリット</t>
  </si>
  <si>
    <t>マノウォー</t>
  </si>
  <si>
    <t>ゴブリン</t>
  </si>
  <si>
    <t>en001</t>
  </si>
  <si>
    <t>コボルド</t>
  </si>
  <si>
    <t>en002</t>
  </si>
  <si>
    <t>オーク</t>
  </si>
  <si>
    <t>オーガ</t>
  </si>
  <si>
    <t>ゴーレム</t>
  </si>
  <si>
    <t>ルームコード(x座標(0~4)+(floor*5))の値によって登場する2種類の雑魚が決まる</t>
    <rPh sb="8" eb="10">
      <t>ザヒョウ</t>
    </rPh>
    <rPh sb="27" eb="28">
      <t>アタイ</t>
    </rPh>
    <rPh sb="32" eb="34">
      <t>トウジョウ</t>
    </rPh>
    <rPh sb="37" eb="39">
      <t>シュルイ</t>
    </rPh>
    <rPh sb="40" eb="42">
      <t>ザコ</t>
    </rPh>
    <rPh sb="43" eb="44">
      <t>キ</t>
    </rPh>
    <phoneticPr fontId="1"/>
  </si>
  <si>
    <t>1編成目はRCを9で割った余り</t>
    <rPh sb="1" eb="4">
      <t>ヘンセイメ</t>
    </rPh>
    <rPh sb="10" eb="11">
      <t>ワ</t>
    </rPh>
    <rPh sb="13" eb="14">
      <t>アマ</t>
    </rPh>
    <phoneticPr fontId="1"/>
  </si>
  <si>
    <t>2編成目はRCを8で割った余り</t>
    <rPh sb="1" eb="4">
      <t>ヘンセイメ</t>
    </rPh>
    <rPh sb="10" eb="11">
      <t>ワ</t>
    </rPh>
    <rPh sb="13" eb="14">
      <t>アマ</t>
    </rPh>
    <phoneticPr fontId="1"/>
  </si>
  <si>
    <t>スウォーム2</t>
    <phoneticPr fontId="1"/>
  </si>
  <si>
    <t>フライ2</t>
    <phoneticPr fontId="1"/>
  </si>
  <si>
    <t>スピリット2</t>
    <phoneticPr fontId="1"/>
  </si>
  <si>
    <t>マノウォー2</t>
    <phoneticPr fontId="1"/>
  </si>
  <si>
    <t>ゴブリン2</t>
    <phoneticPr fontId="1"/>
  </si>
  <si>
    <t>コボルド2</t>
    <phoneticPr fontId="1"/>
  </si>
  <si>
    <t>オーク2</t>
    <phoneticPr fontId="1"/>
  </si>
  <si>
    <t>オーガ2</t>
    <phoneticPr fontId="1"/>
  </si>
  <si>
    <t>ゴーレム2</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</si>
</sst>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游ゴシック"/>
      <family val="2"/>
      <charset val="128"/>
      <scheme val="minor"/>
    </font>
    <font>
      <sz val="6"/>
      <name val="游ゴシック"/>
      <family val="2"/>
      <charset val="128"/>
      <scheme val="minor"/>
    </font>
    <font>
      <sz val="11"/>
      <color rgb="FFFF0000"/>
      <name val="游ゴシック"/>
      <family val="2"/>
      <charset val="128"/>
      <scheme val="minor"/>
    </font>
    <font>
      <sz val="9"/>
      <color rgb="FFFF0000"/>
      <name val="游ゴシック"/>
      <family val="2"/>
      <charset val="128"/>
      <scheme val="minor"/>
    </font>
    <font>
      <sz val="11"/>
      <name val="Arial"/>
      <family val="2"/>
    </font>
    <font>
      <sz val="11"/>
      <name val="游ゴシック"/>
      <family val="2"/>
      <charset val="128"/>
      <scheme val="minor"/>
    </font>
    <font>
      <b/>
      <sz val="11"/>
      <color rgb="FF7030A0"/>
      <name val="游ゴシック"/>
      <family val="3"/>
      <charset val="128"/>
      <scheme val="minor"/>
    </font>
    <font>
      <sz val="11"/>
      <color theme="9"/>
      <name val="游ゴシック"/>
      <family val="2"/>
      <charset val="128"/>
      <scheme val="minor"/>
    </font>
    <font>
      <sz val="11"/>
      <color rgb="FFFFFF00"/>
      <name val="游ゴシック"/>
      <family val="2"/>
      <charset val="128"/>
      <scheme val="minor"/>
    </font>
    <font>
      <sz val="11"/>
      <color theme="4"/>
      <name val="游ゴシック"/>
      <family val="2"/>
      <charset val="128"/>
      <scheme val="minor"/>
    </font>
    <font>
      <sz val="11"/>
      <color theme="7" tint="-0.249977111117893"/>
      <name val="游ゴシック"/>
      <family val="2"/>
      <charset val="128"/>
      <scheme val="minor"/>
    </font>
  </fonts>
  <fills count="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3">
    <xf numFmtId="0" fontId="0" fillId="0" borderId="0" xfId="0">
      <alignment vertical="center"/>
    </xf>
    <xf numFmtId="0" fontId="2" fillId="2" borderId="0" xfId="0" applyFont="1" applyFill="1">
      <alignment vertical="center"/>
    </xf>
    <xf numFmtId="0" fontId="0" fillId="3" borderId="0" xfId="0" applyFill="1" applyAlignment="1">
      <alignment horizontal="center" vertical="center"/>
    </xf>
    <xf numFmtId="0" fontId="2" fillId="0" borderId="0" xfId="0" applyFont="1" applyFill="1">
      <alignment vertical="center"/>
    </xf>
    <xf numFmtId="0" fontId="0" fillId="0" borderId="0" xfId="0" applyFill="1">
      <alignment vertical="center"/>
    </xf>
    <xf numFmtId="0" fontId="2" fillId="0" borderId="0" xfId="0" applyFont="1" applyFill="1" applyAlignment="1">
      <alignment vertical="center" wrapText="1"/>
    </xf>
    <xf numFmtId="0" fontId="3" fillId="0" borderId="0" xfId="0" applyFont="1" applyFill="1" applyAlignment="1">
      <alignment vertical="center" wrapText="1"/>
    </xf>
    <xf numFmtId="0" fontId="0" fillId="0" borderId="0" xfId="0"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alignment vertical="center"/>
    </xf>
    <xf numFmtId="0" fontId="4" fillId="0" borderId="0" xfId="0" applyFont="1" applyFill="1" applyBorder="1">
      <alignment vertical="center"/>
    </xf>
    <xf numFmtId="0" fontId="5" fillId="0" borderId="0" xfId="0" applyFont="1" applyFill="1">
      <alignment vertical="center"/>
    </xf>
    <xf numFmtId="0" fontId="0" fillId="3" borderId="0" xfId="0" applyFill="1">
      <alignment vertical="center"/>
    </xf>
    <xf numFmtId="0" fontId="6" fillId="0" borderId="0" xfId="0" applyFont="1" applyFill="1">
      <alignment vertical="center"/>
    </xf>
    <xf numFmtId="0" fontId="7" fillId="2" borderId="0" xfId="0" applyFont="1" applyFill="1">
      <alignment vertical="center"/>
    </xf>
    <xf numFmtId="0" fontId="9" fillId="2" borderId="0" xfId="0" applyFont="1" applyFill="1">
      <alignment vertical="center"/>
    </xf>
    <xf numFmtId="0" fontId="9" fillId="0" borderId="0" xfId="0" applyFont="1" applyFill="1">
      <alignment vertical="center"/>
    </xf>
    <xf numFmtId="0" fontId="8" fillId="4" borderId="0" xfId="0" applyFont="1" applyFill="1">
      <alignment vertical="center"/>
    </xf>
    <xf numFmtId="0" fontId="10" fillId="0" borderId="0" xfId="0" applyFont="1" applyFill="1">
      <alignment vertical="center"/>
    </xf>
    <xf numFmtId="0" fontId="6" fillId="2" borderId="0" xfId="0" applyFont="1" applyFill="1">
      <alignment vertical="center"/>
    </xf>
    <xf numFmtId="0" fontId="5" fillId="0" borderId="0" xfId="0" applyFont="1" applyFill="1" applyAlignment="1">
      <alignment horizontal="center" vertical="center"/>
    </xf>
    <xf numFmtId="0" fontId="0" fillId="0" borderId="1" xfId="0" applyBorder="1">
      <alignment vertical="center"/>
    </xf>
    <xf numFmtId="0" fontId="0" fillId="0" borderId="2"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C3B9B-B05A-45C2-9D55-CA99BCD63CA8}">
  <dimension ref="A1:M81"/>
  <sheetViews>
    <sheetView topLeftCell="A51" workbookViewId="0">
      <selection activeCell="E62" sqref="E62"/>
    </sheetView>
  </sheetViews>
  <sheetFormatPr defaultRowHeight="36" customHeight="1" x14ac:dyDescent="0.4"/>
  <sheetData>
    <row r="1" spans="1:13" ht="36" customHeight="1" x14ac:dyDescent="0.4">
      <c r="A1" s="12"/>
      <c r="B1" s="12"/>
      <c r="C1" s="3" t="s">
        <v>12</v>
      </c>
      <c r="D1" s="12"/>
      <c r="E1" s="12"/>
      <c r="F1" s="12"/>
      <c r="G1" s="3"/>
      <c r="H1" s="3"/>
      <c r="I1" s="4"/>
      <c r="J1" s="4"/>
      <c r="K1" s="4"/>
      <c r="L1" s="4"/>
      <c r="M1" s="4"/>
    </row>
    <row r="2" spans="1:13" ht="36" customHeight="1" x14ac:dyDescent="0.4">
      <c r="A2" s="12"/>
      <c r="B2" s="4" t="s">
        <v>15</v>
      </c>
      <c r="C2" s="4" t="s">
        <v>15</v>
      </c>
      <c r="D2" s="12"/>
      <c r="E2" s="12"/>
      <c r="F2" s="12"/>
      <c r="G2" s="4"/>
      <c r="H2" s="4"/>
      <c r="I2" s="4"/>
      <c r="J2" s="4"/>
      <c r="K2" s="3"/>
      <c r="L2" s="4"/>
      <c r="M2" s="4"/>
    </row>
    <row r="3" spans="1:13" ht="36" customHeight="1" x14ac:dyDescent="0.4">
      <c r="A3" s="4"/>
      <c r="B3" s="4" t="s">
        <v>104</v>
      </c>
      <c r="C3" s="15" t="s">
        <v>93</v>
      </c>
      <c r="D3" s="18" t="s">
        <v>98</v>
      </c>
      <c r="F3" s="12"/>
      <c r="H3" s="3"/>
      <c r="I3" s="4"/>
      <c r="J3" s="4"/>
      <c r="K3" s="3"/>
      <c r="L3" s="4"/>
      <c r="M3" s="4"/>
    </row>
    <row r="4" spans="1:13" ht="36" customHeight="1" x14ac:dyDescent="0.4">
      <c r="A4" s="4" t="s">
        <v>94</v>
      </c>
      <c r="B4" s="17" t="s">
        <v>92</v>
      </c>
      <c r="C4" s="13" t="s">
        <v>103</v>
      </c>
      <c r="D4" s="3"/>
      <c r="E4" s="12"/>
      <c r="F4" s="12"/>
      <c r="G4" s="3"/>
      <c r="H4" s="3"/>
      <c r="I4" s="3"/>
      <c r="J4" s="3"/>
      <c r="K4" s="4"/>
      <c r="L4" s="4"/>
      <c r="M4" s="4"/>
    </row>
    <row r="5" spans="1:13" ht="36" customHeight="1" x14ac:dyDescent="0.4">
      <c r="A5" s="4"/>
      <c r="B5" s="4" t="s">
        <v>102</v>
      </c>
      <c r="C5" s="14" t="s">
        <v>91</v>
      </c>
      <c r="D5" s="4" t="s">
        <v>96</v>
      </c>
      <c r="F5" s="12"/>
      <c r="G5" s="4"/>
      <c r="H5" s="3"/>
      <c r="I5" s="4"/>
      <c r="J5" s="4"/>
      <c r="K5" s="4"/>
      <c r="L5" s="4"/>
      <c r="M5" s="4"/>
    </row>
    <row r="6" spans="1:13" ht="36" customHeight="1" x14ac:dyDescent="0.4">
      <c r="A6" s="4" t="s">
        <v>99</v>
      </c>
      <c r="B6" s="4" t="s">
        <v>100</v>
      </c>
      <c r="C6" s="19" t="s">
        <v>90</v>
      </c>
      <c r="D6" s="4" t="s">
        <v>97</v>
      </c>
      <c r="E6" s="12"/>
      <c r="F6" s="12"/>
      <c r="G6" s="3"/>
      <c r="H6" s="4"/>
      <c r="I6" s="3"/>
      <c r="J6" s="4"/>
      <c r="K6" s="4"/>
      <c r="L6" s="4"/>
      <c r="M6" s="4"/>
    </row>
    <row r="7" spans="1:13" ht="36" customHeight="1" x14ac:dyDescent="0.4">
      <c r="A7" s="4"/>
      <c r="B7" s="16" t="s">
        <v>101</v>
      </c>
      <c r="C7" s="13" t="s">
        <v>95</v>
      </c>
      <c r="D7" s="1" t="s">
        <v>89</v>
      </c>
      <c r="F7" s="12"/>
      <c r="G7" s="4"/>
      <c r="H7" s="4"/>
      <c r="I7" s="4"/>
      <c r="J7" s="4"/>
      <c r="K7" s="4"/>
      <c r="L7" s="4"/>
      <c r="M7" s="4"/>
    </row>
    <row r="8" spans="1:13" ht="36" customHeight="1" x14ac:dyDescent="0.4">
      <c r="A8" s="4"/>
      <c r="B8" s="4" t="s">
        <v>88</v>
      </c>
      <c r="C8" s="4" t="s">
        <v>88</v>
      </c>
      <c r="E8" s="12"/>
      <c r="F8" s="12"/>
      <c r="G8" s="4" t="s">
        <v>72</v>
      </c>
      <c r="H8" s="4"/>
      <c r="I8" s="3"/>
      <c r="J8" s="4"/>
      <c r="K8" s="4"/>
      <c r="L8" s="4"/>
      <c r="M8" s="4"/>
    </row>
    <row r="9" spans="1:13" ht="36" customHeight="1" x14ac:dyDescent="0.4">
      <c r="A9" s="4"/>
      <c r="B9" s="4" t="s">
        <v>88</v>
      </c>
      <c r="C9" s="4" t="s">
        <v>88</v>
      </c>
      <c r="D9" s="4" t="s">
        <v>88</v>
      </c>
      <c r="F9" s="12"/>
      <c r="G9" s="3"/>
      <c r="H9" s="4"/>
      <c r="I9" s="4"/>
      <c r="J9" s="4"/>
      <c r="K9" s="5"/>
      <c r="L9" s="4"/>
      <c r="M9" s="4"/>
    </row>
    <row r="10" spans="1:13" ht="36" customHeight="1" x14ac:dyDescent="0.4">
      <c r="A10" s="4"/>
      <c r="B10" s="4" t="s">
        <v>88</v>
      </c>
      <c r="C10" s="4" t="s">
        <v>88</v>
      </c>
      <c r="D10" s="4" t="s">
        <v>88</v>
      </c>
      <c r="E10" s="12"/>
      <c r="F10" s="12"/>
      <c r="G10" s="3"/>
      <c r="H10" s="3"/>
      <c r="I10" s="4"/>
      <c r="J10" s="4"/>
      <c r="K10" s="3"/>
      <c r="L10" s="3"/>
      <c r="M10" s="4"/>
    </row>
    <row r="11" spans="1:13" ht="36" customHeight="1" x14ac:dyDescent="0.4">
      <c r="A11" s="4" t="s">
        <v>88</v>
      </c>
      <c r="B11" s="4" t="s">
        <v>88</v>
      </c>
      <c r="C11" s="4" t="s">
        <v>88</v>
      </c>
      <c r="D11" s="4" t="s">
        <v>88</v>
      </c>
      <c r="F11" s="12"/>
      <c r="G11" s="4"/>
      <c r="H11" s="4"/>
      <c r="I11" s="6"/>
      <c r="J11" s="4"/>
      <c r="K11" s="3"/>
      <c r="L11" s="4"/>
      <c r="M11" s="4"/>
    </row>
    <row r="12" spans="1:13" ht="36" customHeight="1" x14ac:dyDescent="0.4">
      <c r="A12" s="4"/>
      <c r="B12" s="4" t="s">
        <v>88</v>
      </c>
      <c r="C12" s="4" t="s">
        <v>88</v>
      </c>
      <c r="D12" s="4" t="s">
        <v>88</v>
      </c>
      <c r="E12" s="12"/>
      <c r="F12" s="12"/>
      <c r="G12" s="4"/>
      <c r="H12" s="4"/>
      <c r="I12" s="4"/>
      <c r="J12" s="4"/>
      <c r="K12" s="4"/>
      <c r="L12" s="4"/>
      <c r="M12" s="4"/>
    </row>
    <row r="13" spans="1:13" ht="36" customHeight="1" x14ac:dyDescent="0.4">
      <c r="B13" s="4" t="s">
        <v>88</v>
      </c>
      <c r="C13" s="4" t="s">
        <v>88</v>
      </c>
      <c r="D13" s="4" t="s">
        <v>88</v>
      </c>
      <c r="F13" s="12"/>
    </row>
    <row r="14" spans="1:13" ht="36" customHeight="1" x14ac:dyDescent="0.4">
      <c r="A14" s="4" t="s">
        <v>88</v>
      </c>
      <c r="B14" s="4" t="s">
        <v>88</v>
      </c>
      <c r="C14" s="4" t="s">
        <v>88</v>
      </c>
      <c r="E14" s="12"/>
      <c r="F14" s="12"/>
    </row>
    <row r="15" spans="1:13" ht="36" customHeight="1" x14ac:dyDescent="0.4">
      <c r="B15" s="4" t="s">
        <v>88</v>
      </c>
      <c r="C15" s="4" t="s">
        <v>88</v>
      </c>
      <c r="D15" s="4" t="s">
        <v>88</v>
      </c>
      <c r="F15" s="12"/>
    </row>
    <row r="16" spans="1:13" ht="36" customHeight="1" x14ac:dyDescent="0.4">
      <c r="B16" s="4" t="s">
        <v>87</v>
      </c>
      <c r="C16" s="4" t="s">
        <v>87</v>
      </c>
      <c r="D16" s="4" t="s">
        <v>88</v>
      </c>
      <c r="E16" s="12"/>
      <c r="F16" s="12"/>
    </row>
    <row r="17" spans="1:6" ht="36" customHeight="1" x14ac:dyDescent="0.4">
      <c r="B17" s="4" t="s">
        <v>87</v>
      </c>
      <c r="C17" s="4" t="s">
        <v>87</v>
      </c>
      <c r="D17" s="4" t="s">
        <v>87</v>
      </c>
      <c r="F17" s="12"/>
    </row>
    <row r="18" spans="1:6" ht="36" customHeight="1" x14ac:dyDescent="0.4">
      <c r="A18" s="4" t="s">
        <v>88</v>
      </c>
      <c r="B18" s="4" t="s">
        <v>87</v>
      </c>
      <c r="C18" s="4" t="s">
        <v>87</v>
      </c>
      <c r="E18" s="12"/>
      <c r="F18" s="12"/>
    </row>
    <row r="19" spans="1:6" ht="36" customHeight="1" x14ac:dyDescent="0.4">
      <c r="B19" s="4" t="s">
        <v>87</v>
      </c>
      <c r="C19" s="4" t="s">
        <v>87</v>
      </c>
      <c r="D19" s="4" t="s">
        <v>87</v>
      </c>
      <c r="F19" s="12"/>
    </row>
    <row r="20" spans="1:6" ht="36" customHeight="1" x14ac:dyDescent="0.4">
      <c r="B20" s="4" t="s">
        <v>87</v>
      </c>
      <c r="C20" s="4" t="s">
        <v>87</v>
      </c>
      <c r="D20" s="4" t="s">
        <v>88</v>
      </c>
      <c r="E20" s="12"/>
      <c r="F20" s="12"/>
    </row>
    <row r="21" spans="1:6" ht="36" customHeight="1" x14ac:dyDescent="0.4">
      <c r="B21" s="4" t="s">
        <v>87</v>
      </c>
      <c r="C21" s="4" t="s">
        <v>87</v>
      </c>
      <c r="D21" s="4" t="s">
        <v>87</v>
      </c>
      <c r="F21" s="12"/>
    </row>
    <row r="22" spans="1:6" ht="36" customHeight="1" x14ac:dyDescent="0.4">
      <c r="A22" s="4" t="s">
        <v>88</v>
      </c>
      <c r="B22" s="4" t="s">
        <v>87</v>
      </c>
      <c r="C22" s="4" t="s">
        <v>87</v>
      </c>
      <c r="E22" s="12"/>
      <c r="F22" s="12"/>
    </row>
    <row r="23" spans="1:6" ht="36" customHeight="1" x14ac:dyDescent="0.4">
      <c r="B23" s="4" t="s">
        <v>87</v>
      </c>
      <c r="C23" s="4" t="s">
        <v>87</v>
      </c>
      <c r="D23" s="4" t="s">
        <v>87</v>
      </c>
      <c r="F23" s="12"/>
    </row>
    <row r="24" spans="1:6" ht="36" customHeight="1" x14ac:dyDescent="0.4">
      <c r="B24" s="4" t="s">
        <v>86</v>
      </c>
      <c r="C24" s="4" t="s">
        <v>86</v>
      </c>
      <c r="E24" s="12"/>
      <c r="F24" s="12"/>
    </row>
    <row r="25" spans="1:6" ht="36" customHeight="1" x14ac:dyDescent="0.4">
      <c r="A25" s="4" t="s">
        <v>86</v>
      </c>
      <c r="B25" s="4" t="s">
        <v>86</v>
      </c>
      <c r="C25" s="4" t="s">
        <v>86</v>
      </c>
      <c r="F25" s="12"/>
    </row>
    <row r="26" spans="1:6" ht="36" customHeight="1" x14ac:dyDescent="0.4">
      <c r="A26" s="4" t="s">
        <v>86</v>
      </c>
      <c r="B26" s="4" t="s">
        <v>86</v>
      </c>
      <c r="C26" s="4"/>
      <c r="D26" t="s">
        <v>84</v>
      </c>
      <c r="E26" s="12"/>
      <c r="F26" s="12"/>
    </row>
    <row r="27" spans="1:6" ht="36" customHeight="1" x14ac:dyDescent="0.4">
      <c r="A27" s="4" t="s">
        <v>85</v>
      </c>
      <c r="B27" s="4" t="s">
        <v>85</v>
      </c>
      <c r="C27" s="4"/>
      <c r="D27" t="s">
        <v>84</v>
      </c>
      <c r="E27" t="s">
        <v>84</v>
      </c>
      <c r="F27" s="12"/>
    </row>
    <row r="28" spans="1:6" ht="36" customHeight="1" x14ac:dyDescent="0.4">
      <c r="A28" s="4" t="s">
        <v>85</v>
      </c>
      <c r="B28" s="4" t="s">
        <v>85</v>
      </c>
      <c r="C28" s="4"/>
      <c r="D28" t="s">
        <v>84</v>
      </c>
      <c r="E28" s="12"/>
      <c r="F28" s="12"/>
    </row>
    <row r="29" spans="1:6" ht="36" customHeight="1" x14ac:dyDescent="0.4">
      <c r="A29" s="4" t="s">
        <v>85</v>
      </c>
      <c r="B29" s="4" t="s">
        <v>85</v>
      </c>
      <c r="C29" s="4"/>
      <c r="D29" t="s">
        <v>84</v>
      </c>
      <c r="E29" t="s">
        <v>84</v>
      </c>
      <c r="F29" s="12"/>
    </row>
    <row r="30" spans="1:6" ht="36" customHeight="1" x14ac:dyDescent="0.4">
      <c r="A30" s="4" t="s">
        <v>85</v>
      </c>
      <c r="B30" s="4" t="s">
        <v>85</v>
      </c>
      <c r="C30" s="4"/>
      <c r="D30" t="s">
        <v>84</v>
      </c>
      <c r="E30" s="12"/>
      <c r="F30" s="12"/>
    </row>
    <row r="31" spans="1:6" ht="36" customHeight="1" x14ac:dyDescent="0.4">
      <c r="A31" s="4" t="s">
        <v>85</v>
      </c>
      <c r="B31" s="4" t="s">
        <v>85</v>
      </c>
      <c r="C31" s="4"/>
      <c r="D31" t="s">
        <v>84</v>
      </c>
      <c r="E31" t="s">
        <v>84</v>
      </c>
      <c r="F31" s="12"/>
    </row>
    <row r="32" spans="1:6" ht="36" customHeight="1" x14ac:dyDescent="0.4">
      <c r="A32" s="4" t="s">
        <v>85</v>
      </c>
      <c r="B32" s="4" t="s">
        <v>85</v>
      </c>
      <c r="C32" s="4"/>
      <c r="D32" t="s">
        <v>84</v>
      </c>
      <c r="E32" s="12"/>
      <c r="F32" s="12"/>
    </row>
    <row r="33" spans="1:7" ht="36" customHeight="1" x14ac:dyDescent="0.4">
      <c r="A33" s="4" t="s">
        <v>85</v>
      </c>
      <c r="B33" s="4" t="s">
        <v>85</v>
      </c>
      <c r="C33" s="4"/>
      <c r="D33" t="s">
        <v>84</v>
      </c>
      <c r="E33" t="s">
        <v>84</v>
      </c>
      <c r="F33" s="12"/>
      <c r="G33" t="s">
        <v>78</v>
      </c>
    </row>
    <row r="34" spans="1:7" ht="36" customHeight="1" x14ac:dyDescent="0.4">
      <c r="B34" s="4" t="s">
        <v>84</v>
      </c>
      <c r="C34" s="4" t="s">
        <v>84</v>
      </c>
      <c r="D34" t="s">
        <v>84</v>
      </c>
      <c r="E34" s="12"/>
      <c r="F34" s="12"/>
    </row>
    <row r="35" spans="1:7" ht="36" customHeight="1" x14ac:dyDescent="0.4">
      <c r="B35" s="4" t="s">
        <v>84</v>
      </c>
      <c r="C35" s="4" t="s">
        <v>84</v>
      </c>
      <c r="D35" t="s">
        <v>84</v>
      </c>
      <c r="E35" s="4"/>
      <c r="F35" s="12"/>
      <c r="G35" t="s">
        <v>77</v>
      </c>
    </row>
    <row r="36" spans="1:7" ht="36" customHeight="1" x14ac:dyDescent="0.4">
      <c r="B36" t="s">
        <v>83</v>
      </c>
      <c r="C36" t="s">
        <v>83</v>
      </c>
      <c r="E36" s="12"/>
      <c r="F36" s="12"/>
    </row>
    <row r="37" spans="1:7" ht="36" customHeight="1" x14ac:dyDescent="0.4">
      <c r="B37" t="s">
        <v>83</v>
      </c>
      <c r="C37" t="s">
        <v>83</v>
      </c>
      <c r="D37" t="s">
        <v>83</v>
      </c>
      <c r="F37" s="12"/>
    </row>
    <row r="38" spans="1:7" ht="36" customHeight="1" x14ac:dyDescent="0.4">
      <c r="B38" t="s">
        <v>83</v>
      </c>
      <c r="C38" t="s">
        <v>83</v>
      </c>
      <c r="E38" s="12"/>
      <c r="F38" s="12"/>
    </row>
    <row r="39" spans="1:7" ht="36" customHeight="1" x14ac:dyDescent="0.4">
      <c r="B39" t="s">
        <v>83</v>
      </c>
      <c r="C39" t="s">
        <v>83</v>
      </c>
      <c r="D39" t="s">
        <v>83</v>
      </c>
      <c r="F39" s="12"/>
    </row>
    <row r="40" spans="1:7" ht="36" customHeight="1" x14ac:dyDescent="0.4">
      <c r="B40" t="s">
        <v>83</v>
      </c>
      <c r="C40" t="s">
        <v>83</v>
      </c>
      <c r="E40" s="12"/>
      <c r="F40" s="12"/>
    </row>
    <row r="41" spans="1:7" ht="36" customHeight="1" x14ac:dyDescent="0.4">
      <c r="B41" t="s">
        <v>83</v>
      </c>
      <c r="C41" t="s">
        <v>83</v>
      </c>
      <c r="D41" t="s">
        <v>83</v>
      </c>
      <c r="F41" s="12"/>
      <c r="G41" t="s">
        <v>76</v>
      </c>
    </row>
    <row r="42" spans="1:7" ht="36" customHeight="1" x14ac:dyDescent="0.4">
      <c r="A42" t="s">
        <v>80</v>
      </c>
      <c r="B42" t="s">
        <v>80</v>
      </c>
      <c r="C42" t="s">
        <v>80</v>
      </c>
      <c r="D42" t="s">
        <v>80</v>
      </c>
      <c r="E42" s="12"/>
      <c r="F42" s="12"/>
    </row>
    <row r="43" spans="1:7" ht="36" customHeight="1" x14ac:dyDescent="0.4">
      <c r="A43" t="s">
        <v>79</v>
      </c>
      <c r="B43" s="4"/>
      <c r="C43" t="s">
        <v>80</v>
      </c>
      <c r="D43" t="s">
        <v>80</v>
      </c>
      <c r="E43" t="s">
        <v>80</v>
      </c>
      <c r="F43" s="12"/>
      <c r="G43" t="s">
        <v>75</v>
      </c>
    </row>
    <row r="44" spans="1:7" ht="36" customHeight="1" x14ac:dyDescent="0.4">
      <c r="A44" t="s">
        <v>79</v>
      </c>
      <c r="B44" s="4"/>
      <c r="C44" t="s">
        <v>80</v>
      </c>
      <c r="D44" t="s">
        <v>80</v>
      </c>
      <c r="E44" s="12"/>
      <c r="F44" s="12"/>
    </row>
    <row r="45" spans="1:7" ht="36" customHeight="1" x14ac:dyDescent="0.4">
      <c r="A45" t="s">
        <v>79</v>
      </c>
      <c r="B45" s="4"/>
      <c r="C45" t="s">
        <v>80</v>
      </c>
      <c r="D45" t="s">
        <v>80</v>
      </c>
      <c r="E45" t="s">
        <v>80</v>
      </c>
      <c r="F45" s="12"/>
    </row>
    <row r="46" spans="1:7" ht="36" customHeight="1" x14ac:dyDescent="0.4">
      <c r="A46" t="s">
        <v>79</v>
      </c>
      <c r="B46" s="4"/>
      <c r="C46" t="s">
        <v>80</v>
      </c>
      <c r="D46" t="s">
        <v>80</v>
      </c>
      <c r="E46" s="12"/>
      <c r="F46" s="12"/>
    </row>
    <row r="47" spans="1:7" ht="36" customHeight="1" x14ac:dyDescent="0.4">
      <c r="A47" t="s">
        <v>79</v>
      </c>
      <c r="B47" s="4"/>
      <c r="C47" t="s">
        <v>80</v>
      </c>
      <c r="D47" t="s">
        <v>80</v>
      </c>
      <c r="E47" t="s">
        <v>80</v>
      </c>
      <c r="F47" s="12"/>
    </row>
    <row r="48" spans="1:7" ht="36" customHeight="1" x14ac:dyDescent="0.4">
      <c r="A48" t="s">
        <v>79</v>
      </c>
      <c r="B48" s="4"/>
      <c r="C48" t="s">
        <v>80</v>
      </c>
      <c r="D48" t="s">
        <v>80</v>
      </c>
      <c r="E48" s="12"/>
      <c r="F48" s="12"/>
    </row>
    <row r="49" spans="1:7" ht="36" customHeight="1" x14ac:dyDescent="0.4">
      <c r="A49" t="s">
        <v>79</v>
      </c>
      <c r="B49" s="4"/>
      <c r="C49" t="s">
        <v>80</v>
      </c>
      <c r="D49" t="s">
        <v>80</v>
      </c>
      <c r="E49" t="s">
        <v>80</v>
      </c>
      <c r="F49" s="12"/>
      <c r="G49" t="s">
        <v>74</v>
      </c>
    </row>
    <row r="50" spans="1:7" ht="36" customHeight="1" x14ac:dyDescent="0.4">
      <c r="B50" s="4" t="s">
        <v>81</v>
      </c>
      <c r="C50" s="4" t="s">
        <v>81</v>
      </c>
      <c r="D50" s="4" t="s">
        <v>81</v>
      </c>
      <c r="E50" s="12"/>
      <c r="F50" s="12"/>
    </row>
    <row r="51" spans="1:7" ht="36" customHeight="1" x14ac:dyDescent="0.4">
      <c r="B51" s="4" t="s">
        <v>81</v>
      </c>
      <c r="C51" s="4" t="s">
        <v>81</v>
      </c>
      <c r="D51" s="4" t="s">
        <v>81</v>
      </c>
      <c r="F51" s="12"/>
    </row>
    <row r="52" spans="1:7" ht="36" customHeight="1" x14ac:dyDescent="0.4">
      <c r="B52" s="4" t="s">
        <v>81</v>
      </c>
      <c r="C52" s="4" t="s">
        <v>81</v>
      </c>
      <c r="E52" s="12"/>
      <c r="F52" s="12"/>
    </row>
    <row r="53" spans="1:7" ht="36" customHeight="1" x14ac:dyDescent="0.4">
      <c r="B53" s="4" t="s">
        <v>81</v>
      </c>
      <c r="C53" s="4" t="s">
        <v>81</v>
      </c>
      <c r="D53" s="4" t="s">
        <v>81</v>
      </c>
      <c r="F53" s="12"/>
    </row>
    <row r="54" spans="1:7" ht="36" customHeight="1" x14ac:dyDescent="0.4">
      <c r="B54" s="4" t="s">
        <v>81</v>
      </c>
      <c r="C54" s="4" t="s">
        <v>81</v>
      </c>
      <c r="E54" s="12"/>
      <c r="F54" s="12"/>
    </row>
    <row r="55" spans="1:7" ht="36" customHeight="1" x14ac:dyDescent="0.4">
      <c r="B55" s="4" t="s">
        <v>81</v>
      </c>
      <c r="C55" s="4" t="s">
        <v>81</v>
      </c>
      <c r="D55" s="4" t="s">
        <v>81</v>
      </c>
      <c r="F55" s="12"/>
      <c r="G55" t="s">
        <v>73</v>
      </c>
    </row>
    <row r="56" spans="1:7" ht="36" customHeight="1" x14ac:dyDescent="0.4">
      <c r="B56" s="4" t="s">
        <v>82</v>
      </c>
      <c r="C56" s="4" t="s">
        <v>82</v>
      </c>
      <c r="E56" s="12"/>
      <c r="F56" s="12"/>
    </row>
    <row r="57" spans="1:7" ht="36" customHeight="1" x14ac:dyDescent="0.4">
      <c r="B57" s="4" t="s">
        <v>82</v>
      </c>
      <c r="C57" s="4" t="s">
        <v>82</v>
      </c>
      <c r="D57" s="4" t="s">
        <v>82</v>
      </c>
      <c r="F57" s="12"/>
    </row>
    <row r="58" spans="1:7" ht="36" customHeight="1" x14ac:dyDescent="0.4">
      <c r="B58" s="4" t="s">
        <v>82</v>
      </c>
      <c r="C58" s="4" t="s">
        <v>82</v>
      </c>
      <c r="E58" s="12"/>
      <c r="F58" s="12"/>
    </row>
    <row r="59" spans="1:7" ht="36" customHeight="1" x14ac:dyDescent="0.4">
      <c r="B59" s="4" t="s">
        <v>82</v>
      </c>
      <c r="C59" s="4" t="s">
        <v>82</v>
      </c>
      <c r="D59" s="4" t="s">
        <v>82</v>
      </c>
      <c r="F59" s="12"/>
    </row>
    <row r="60" spans="1:7" ht="36" customHeight="1" x14ac:dyDescent="0.4">
      <c r="B60" s="4" t="s">
        <v>82</v>
      </c>
      <c r="C60" s="4" t="s">
        <v>82</v>
      </c>
      <c r="E60" s="12"/>
      <c r="F60" s="12"/>
    </row>
    <row r="61" spans="1:7" ht="36" customHeight="1" x14ac:dyDescent="0.4">
      <c r="C61" s="4"/>
    </row>
    <row r="62" spans="1:7" ht="36" customHeight="1" x14ac:dyDescent="0.4">
      <c r="C62" s="4"/>
    </row>
    <row r="63" spans="1:7" ht="36" customHeight="1" x14ac:dyDescent="0.4">
      <c r="C63" s="4"/>
    </row>
    <row r="64" spans="1:7" ht="36" customHeight="1" x14ac:dyDescent="0.4">
      <c r="C64" s="4"/>
    </row>
    <row r="65" spans="3:3" ht="36" customHeight="1" x14ac:dyDescent="0.4">
      <c r="C65" s="4"/>
    </row>
    <row r="66" spans="3:3" ht="36" customHeight="1" x14ac:dyDescent="0.4">
      <c r="C66" s="4"/>
    </row>
    <row r="67" spans="3:3" ht="36" customHeight="1" x14ac:dyDescent="0.4">
      <c r="C67" s="4"/>
    </row>
    <row r="68" spans="3:3" ht="36" customHeight="1" x14ac:dyDescent="0.4">
      <c r="C68" s="4"/>
    </row>
    <row r="69" spans="3:3" ht="36" customHeight="1" x14ac:dyDescent="0.4">
      <c r="C69" s="4"/>
    </row>
    <row r="70" spans="3:3" ht="36" customHeight="1" x14ac:dyDescent="0.4">
      <c r="C70" s="4"/>
    </row>
    <row r="71" spans="3:3" ht="36" customHeight="1" x14ac:dyDescent="0.4">
      <c r="C71" s="4"/>
    </row>
    <row r="72" spans="3:3" ht="36" customHeight="1" x14ac:dyDescent="0.4">
      <c r="C72" s="4"/>
    </row>
    <row r="73" spans="3:3" ht="36" customHeight="1" x14ac:dyDescent="0.4">
      <c r="C73" s="4"/>
    </row>
    <row r="74" spans="3:3" ht="36" customHeight="1" x14ac:dyDescent="0.4">
      <c r="C74" s="4"/>
    </row>
    <row r="75" spans="3:3" ht="36" customHeight="1" x14ac:dyDescent="0.4">
      <c r="C75" s="4"/>
    </row>
    <row r="76" spans="3:3" ht="36" customHeight="1" x14ac:dyDescent="0.4">
      <c r="C76" s="4"/>
    </row>
    <row r="77" spans="3:3" ht="36" customHeight="1" x14ac:dyDescent="0.4">
      <c r="C77" s="4"/>
    </row>
    <row r="78" spans="3:3" ht="36" customHeight="1" x14ac:dyDescent="0.4">
      <c r="C78" s="4"/>
    </row>
    <row r="79" spans="3:3" ht="36" customHeight="1" x14ac:dyDescent="0.4">
      <c r="C79" s="4"/>
    </row>
    <row r="80" spans="3:3" ht="36" customHeight="1" x14ac:dyDescent="0.4">
      <c r="C80" s="4"/>
    </row>
    <row r="81" spans="3:3" ht="36" customHeight="1" x14ac:dyDescent="0.4">
      <c r="C81" s="4"/>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30838-1509-4517-B74C-E85A6ACA858C}">
  <dimension ref="A1:J61"/>
  <sheetViews>
    <sheetView topLeftCell="A51" workbookViewId="0">
      <selection activeCell="E61" sqref="E61"/>
    </sheetView>
  </sheetViews>
  <sheetFormatPr defaultRowHeight="36" customHeight="1" x14ac:dyDescent="0.4"/>
  <cols>
    <col min="1" max="5" width="9" style="11"/>
    <col min="6" max="6" width="9" style="20"/>
    <col min="7" max="16384" width="9" style="11"/>
  </cols>
  <sheetData>
    <row r="1" spans="1:10" ht="36" customHeight="1" x14ac:dyDescent="0.4">
      <c r="A1" s="12"/>
      <c r="B1" s="12"/>
      <c r="C1" s="3" t="s">
        <v>12</v>
      </c>
      <c r="D1" s="12"/>
      <c r="E1" s="12"/>
      <c r="F1" s="2" t="s">
        <v>13</v>
      </c>
      <c r="G1" s="3"/>
      <c r="H1" s="11" t="s">
        <v>105</v>
      </c>
    </row>
    <row r="2" spans="1:10" ht="36" customHeight="1" x14ac:dyDescent="0.4">
      <c r="A2" s="12"/>
      <c r="B2" s="4" t="s">
        <v>15</v>
      </c>
      <c r="C2" s="4" t="s">
        <v>15</v>
      </c>
      <c r="D2" s="12"/>
      <c r="E2" s="12"/>
      <c r="F2" s="2" t="s">
        <v>14</v>
      </c>
      <c r="G2" s="4"/>
      <c r="H2" s="11" t="s">
        <v>106</v>
      </c>
    </row>
    <row r="3" spans="1:10" ht="36" customHeight="1" x14ac:dyDescent="0.4">
      <c r="A3" s="4"/>
      <c r="B3" s="4" t="s">
        <v>104</v>
      </c>
      <c r="C3" s="15" t="s">
        <v>93</v>
      </c>
      <c r="D3" s="18" t="s">
        <v>98</v>
      </c>
      <c r="E3"/>
      <c r="F3" s="2" t="s">
        <v>16</v>
      </c>
      <c r="G3"/>
    </row>
    <row r="4" spans="1:10" ht="36" customHeight="1" x14ac:dyDescent="0.4">
      <c r="A4" s="4" t="s">
        <v>94</v>
      </c>
      <c r="B4" s="17" t="s">
        <v>92</v>
      </c>
      <c r="C4" s="13" t="s">
        <v>103</v>
      </c>
      <c r="D4" s="3"/>
      <c r="E4" s="12"/>
      <c r="F4" s="2" t="s">
        <v>17</v>
      </c>
      <c r="G4" s="3"/>
      <c r="H4" s="11">
        <v>10</v>
      </c>
    </row>
    <row r="5" spans="1:10" ht="36" customHeight="1" x14ac:dyDescent="0.4">
      <c r="A5" s="4"/>
      <c r="B5" s="4" t="s">
        <v>102</v>
      </c>
      <c r="C5" s="14" t="s">
        <v>91</v>
      </c>
      <c r="D5" s="4" t="s">
        <v>96</v>
      </c>
      <c r="E5"/>
      <c r="F5" s="2" t="s">
        <v>18</v>
      </c>
      <c r="G5" s="4"/>
      <c r="H5" s="11" t="s">
        <v>109</v>
      </c>
    </row>
    <row r="6" spans="1:10" ht="36" customHeight="1" x14ac:dyDescent="0.4">
      <c r="A6" s="4" t="s">
        <v>99</v>
      </c>
      <c r="B6" s="4" t="s">
        <v>100</v>
      </c>
      <c r="C6" s="19" t="s">
        <v>90</v>
      </c>
      <c r="D6" s="4" t="s">
        <v>97</v>
      </c>
      <c r="E6" s="12"/>
      <c r="F6" s="2" t="s">
        <v>19</v>
      </c>
      <c r="G6" s="3"/>
      <c r="H6" s="11" t="s">
        <v>110</v>
      </c>
      <c r="I6" s="11">
        <v>1.5</v>
      </c>
      <c r="J6" s="11" t="s">
        <v>111</v>
      </c>
    </row>
    <row r="7" spans="1:10" ht="36" customHeight="1" x14ac:dyDescent="0.4">
      <c r="A7" s="4"/>
      <c r="B7" s="16" t="s">
        <v>101</v>
      </c>
      <c r="C7" s="13" t="s">
        <v>95</v>
      </c>
      <c r="D7" s="1" t="s">
        <v>89</v>
      </c>
      <c r="E7"/>
      <c r="F7" s="2" t="s">
        <v>20</v>
      </c>
      <c r="G7" s="4"/>
      <c r="H7" s="11">
        <v>42</v>
      </c>
    </row>
    <row r="8" spans="1:10" ht="36" customHeight="1" x14ac:dyDescent="0.4">
      <c r="A8" s="4"/>
      <c r="B8" s="4" t="s">
        <v>88</v>
      </c>
      <c r="C8" s="4" t="s">
        <v>88</v>
      </c>
      <c r="D8"/>
      <c r="E8" s="12"/>
      <c r="F8" s="2" t="s">
        <v>21</v>
      </c>
      <c r="G8" s="4"/>
      <c r="H8" s="11" t="s">
        <v>112</v>
      </c>
    </row>
    <row r="9" spans="1:10" ht="36" customHeight="1" x14ac:dyDescent="0.4">
      <c r="A9" s="4"/>
      <c r="B9" s="4" t="s">
        <v>88</v>
      </c>
      <c r="C9" s="4" t="s">
        <v>88</v>
      </c>
      <c r="D9" s="4" t="s">
        <v>88</v>
      </c>
      <c r="E9"/>
      <c r="F9" s="2" t="s">
        <v>22</v>
      </c>
      <c r="G9" s="3"/>
      <c r="H9" s="11" t="s">
        <v>113</v>
      </c>
    </row>
    <row r="10" spans="1:10" ht="36" customHeight="1" x14ac:dyDescent="0.4">
      <c r="A10" s="4"/>
      <c r="B10" s="4" t="s">
        <v>88</v>
      </c>
      <c r="C10" s="4" t="s">
        <v>88</v>
      </c>
      <c r="D10" s="4" t="s">
        <v>88</v>
      </c>
      <c r="E10" s="12"/>
      <c r="F10" s="2" t="s">
        <v>23</v>
      </c>
      <c r="G10" s="3"/>
    </row>
    <row r="11" spans="1:10" ht="36" customHeight="1" x14ac:dyDescent="0.4">
      <c r="A11" s="4" t="s">
        <v>88</v>
      </c>
      <c r="B11" s="4" t="s">
        <v>88</v>
      </c>
      <c r="C11" s="4" t="s">
        <v>88</v>
      </c>
      <c r="D11" s="4" t="s">
        <v>88</v>
      </c>
      <c r="E11"/>
      <c r="F11" s="2" t="s">
        <v>24</v>
      </c>
      <c r="G11" s="4"/>
    </row>
    <row r="12" spans="1:10" ht="36" customHeight="1" x14ac:dyDescent="0.4">
      <c r="A12" s="4"/>
      <c r="B12" s="4" t="s">
        <v>88</v>
      </c>
      <c r="C12" s="4" t="s">
        <v>88</v>
      </c>
      <c r="D12" s="4" t="s">
        <v>88</v>
      </c>
      <c r="E12" s="12"/>
      <c r="F12" s="2" t="s">
        <v>25</v>
      </c>
      <c r="G12" s="4"/>
    </row>
    <row r="13" spans="1:10" ht="36" customHeight="1" x14ac:dyDescent="0.4">
      <c r="A13"/>
      <c r="B13" s="4" t="s">
        <v>88</v>
      </c>
      <c r="C13" s="4" t="s">
        <v>88</v>
      </c>
      <c r="D13" s="4" t="s">
        <v>88</v>
      </c>
      <c r="E13"/>
      <c r="F13" s="2" t="s">
        <v>26</v>
      </c>
      <c r="G13"/>
    </row>
    <row r="14" spans="1:10" ht="36" customHeight="1" x14ac:dyDescent="0.4">
      <c r="A14" s="4" t="s">
        <v>88</v>
      </c>
      <c r="B14" s="4" t="s">
        <v>88</v>
      </c>
      <c r="C14" s="4" t="s">
        <v>88</v>
      </c>
      <c r="D14"/>
      <c r="E14" s="12"/>
      <c r="F14" s="2" t="s">
        <v>27</v>
      </c>
      <c r="G14"/>
    </row>
    <row r="15" spans="1:10" ht="36" customHeight="1" x14ac:dyDescent="0.4">
      <c r="A15"/>
      <c r="B15" s="4" t="s">
        <v>88</v>
      </c>
      <c r="C15" s="4" t="s">
        <v>88</v>
      </c>
      <c r="D15" s="4" t="s">
        <v>88</v>
      </c>
      <c r="E15"/>
      <c r="F15" s="2" t="s">
        <v>28</v>
      </c>
      <c r="G15"/>
    </row>
    <row r="16" spans="1:10" ht="36" customHeight="1" x14ac:dyDescent="0.4">
      <c r="A16"/>
      <c r="B16" s="4" t="s">
        <v>87</v>
      </c>
      <c r="C16" s="4" t="s">
        <v>87</v>
      </c>
      <c r="D16" s="4" t="s">
        <v>88</v>
      </c>
      <c r="E16" s="12"/>
      <c r="F16" s="2" t="s">
        <v>29</v>
      </c>
      <c r="G16"/>
    </row>
    <row r="17" spans="1:7" ht="36" customHeight="1" x14ac:dyDescent="0.4">
      <c r="A17"/>
      <c r="B17" s="4" t="s">
        <v>87</v>
      </c>
      <c r="C17" s="4" t="s">
        <v>87</v>
      </c>
      <c r="D17" s="4" t="s">
        <v>87</v>
      </c>
      <c r="E17"/>
      <c r="F17" s="2" t="s">
        <v>30</v>
      </c>
      <c r="G17"/>
    </row>
    <row r="18" spans="1:7" ht="36" customHeight="1" x14ac:dyDescent="0.4">
      <c r="A18" s="4" t="s">
        <v>88</v>
      </c>
      <c r="B18" s="4" t="s">
        <v>87</v>
      </c>
      <c r="C18" s="4" t="s">
        <v>87</v>
      </c>
      <c r="D18"/>
      <c r="E18" s="12"/>
      <c r="F18" s="2" t="s">
        <v>31</v>
      </c>
      <c r="G18"/>
    </row>
    <row r="19" spans="1:7" ht="36" customHeight="1" x14ac:dyDescent="0.4">
      <c r="A19"/>
      <c r="B19" s="4" t="s">
        <v>87</v>
      </c>
      <c r="C19" s="4" t="s">
        <v>87</v>
      </c>
      <c r="D19" s="4" t="s">
        <v>87</v>
      </c>
      <c r="E19"/>
      <c r="F19" s="2" t="s">
        <v>32</v>
      </c>
      <c r="G19"/>
    </row>
    <row r="20" spans="1:7" ht="36" customHeight="1" x14ac:dyDescent="0.4">
      <c r="A20"/>
      <c r="B20" s="4" t="s">
        <v>87</v>
      </c>
      <c r="C20" s="4" t="s">
        <v>87</v>
      </c>
      <c r="D20" s="4" t="s">
        <v>88</v>
      </c>
      <c r="E20" s="12"/>
      <c r="F20" s="2" t="s">
        <v>33</v>
      </c>
      <c r="G20"/>
    </row>
    <row r="21" spans="1:7" ht="36" customHeight="1" x14ac:dyDescent="0.4">
      <c r="A21"/>
      <c r="B21" s="4" t="s">
        <v>87</v>
      </c>
      <c r="C21" s="4" t="s">
        <v>87</v>
      </c>
      <c r="D21" s="4" t="s">
        <v>87</v>
      </c>
      <c r="E21"/>
      <c r="F21" s="2" t="s">
        <v>34</v>
      </c>
      <c r="G21"/>
    </row>
    <row r="22" spans="1:7" ht="36" customHeight="1" x14ac:dyDescent="0.4">
      <c r="A22" s="4" t="s">
        <v>88</v>
      </c>
      <c r="B22" s="4" t="s">
        <v>87</v>
      </c>
      <c r="C22" s="4" t="s">
        <v>87</v>
      </c>
      <c r="D22"/>
      <c r="E22" s="12"/>
      <c r="F22" s="2" t="s">
        <v>35</v>
      </c>
      <c r="G22"/>
    </row>
    <row r="23" spans="1:7" ht="36" customHeight="1" x14ac:dyDescent="0.4">
      <c r="A23"/>
      <c r="B23" s="4" t="s">
        <v>87</v>
      </c>
      <c r="C23" s="4" t="s">
        <v>87</v>
      </c>
      <c r="D23" s="4" t="s">
        <v>87</v>
      </c>
      <c r="E23"/>
      <c r="F23" s="2" t="s">
        <v>36</v>
      </c>
      <c r="G23"/>
    </row>
    <row r="24" spans="1:7" ht="36" customHeight="1" x14ac:dyDescent="0.4">
      <c r="A24"/>
      <c r="B24" s="4" t="s">
        <v>86</v>
      </c>
      <c r="C24" s="4" t="s">
        <v>86</v>
      </c>
      <c r="D24"/>
      <c r="E24" s="12"/>
      <c r="F24" s="2" t="s">
        <v>37</v>
      </c>
      <c r="G24"/>
    </row>
    <row r="25" spans="1:7" ht="36" customHeight="1" x14ac:dyDescent="0.4">
      <c r="A25" s="4" t="s">
        <v>86</v>
      </c>
      <c r="B25" s="4" t="s">
        <v>86</v>
      </c>
      <c r="C25" s="4" t="s">
        <v>86</v>
      </c>
      <c r="D25"/>
      <c r="E25"/>
      <c r="F25" s="2" t="s">
        <v>38</v>
      </c>
      <c r="G25"/>
    </row>
    <row r="26" spans="1:7" ht="36" customHeight="1" x14ac:dyDescent="0.4">
      <c r="A26" s="4" t="s">
        <v>86</v>
      </c>
      <c r="B26" s="4" t="s">
        <v>86</v>
      </c>
      <c r="C26" s="4"/>
      <c r="D26" t="s">
        <v>84</v>
      </c>
      <c r="E26" s="12"/>
      <c r="F26" s="2" t="s">
        <v>39</v>
      </c>
      <c r="G26"/>
    </row>
    <row r="27" spans="1:7" ht="36" customHeight="1" x14ac:dyDescent="0.4">
      <c r="A27" s="4" t="s">
        <v>85</v>
      </c>
      <c r="B27" s="4" t="s">
        <v>85</v>
      </c>
      <c r="C27" s="4"/>
      <c r="D27" t="s">
        <v>84</v>
      </c>
      <c r="E27" t="s">
        <v>84</v>
      </c>
      <c r="F27" s="2" t="s">
        <v>40</v>
      </c>
      <c r="G27"/>
    </row>
    <row r="28" spans="1:7" ht="36" customHeight="1" x14ac:dyDescent="0.4">
      <c r="A28" s="4" t="s">
        <v>85</v>
      </c>
      <c r="B28" s="4" t="s">
        <v>85</v>
      </c>
      <c r="C28" s="4"/>
      <c r="D28" t="s">
        <v>84</v>
      </c>
      <c r="E28" s="12"/>
      <c r="F28" s="2" t="s">
        <v>41</v>
      </c>
      <c r="G28"/>
    </row>
    <row r="29" spans="1:7" ht="36" customHeight="1" x14ac:dyDescent="0.4">
      <c r="A29" s="4" t="s">
        <v>85</v>
      </c>
      <c r="B29" s="4" t="s">
        <v>85</v>
      </c>
      <c r="C29" s="4"/>
      <c r="D29" t="s">
        <v>84</v>
      </c>
      <c r="E29" t="s">
        <v>84</v>
      </c>
      <c r="F29" s="2" t="s">
        <v>42</v>
      </c>
      <c r="G29"/>
    </row>
    <row r="30" spans="1:7" ht="36" customHeight="1" x14ac:dyDescent="0.4">
      <c r="A30" s="4" t="s">
        <v>85</v>
      </c>
      <c r="B30" s="4" t="s">
        <v>85</v>
      </c>
      <c r="C30" s="4"/>
      <c r="D30" t="s">
        <v>84</v>
      </c>
      <c r="E30" s="12"/>
      <c r="F30" s="2" t="s">
        <v>43</v>
      </c>
      <c r="G30"/>
    </row>
    <row r="31" spans="1:7" ht="36" customHeight="1" x14ac:dyDescent="0.4">
      <c r="A31" s="4" t="s">
        <v>85</v>
      </c>
      <c r="B31" s="4" t="s">
        <v>85</v>
      </c>
      <c r="C31" s="4"/>
      <c r="D31" t="s">
        <v>84</v>
      </c>
      <c r="E31" t="s">
        <v>84</v>
      </c>
      <c r="F31" s="2" t="s">
        <v>44</v>
      </c>
      <c r="G31"/>
    </row>
    <row r="32" spans="1:7" ht="36" customHeight="1" x14ac:dyDescent="0.4">
      <c r="A32" s="4" t="s">
        <v>85</v>
      </c>
      <c r="B32" s="4" t="s">
        <v>85</v>
      </c>
      <c r="C32" s="4"/>
      <c r="D32" t="s">
        <v>84</v>
      </c>
      <c r="E32" s="12"/>
      <c r="F32" s="2" t="s">
        <v>45</v>
      </c>
      <c r="G32"/>
    </row>
    <row r="33" spans="1:7" ht="36" customHeight="1" x14ac:dyDescent="0.4">
      <c r="A33" s="4" t="s">
        <v>85</v>
      </c>
      <c r="B33" s="4" t="s">
        <v>85</v>
      </c>
      <c r="C33" s="4"/>
      <c r="D33" t="s">
        <v>84</v>
      </c>
      <c r="E33" t="s">
        <v>84</v>
      </c>
      <c r="F33" s="2" t="s">
        <v>46</v>
      </c>
      <c r="G33"/>
    </row>
    <row r="34" spans="1:7" ht="36" customHeight="1" x14ac:dyDescent="0.4">
      <c r="A34"/>
      <c r="B34" s="4" t="s">
        <v>84</v>
      </c>
      <c r="C34" s="4" t="s">
        <v>84</v>
      </c>
      <c r="D34" t="s">
        <v>84</v>
      </c>
      <c r="E34" s="12"/>
      <c r="F34" s="2" t="s">
        <v>47</v>
      </c>
      <c r="G34"/>
    </row>
    <row r="35" spans="1:7" ht="36" customHeight="1" x14ac:dyDescent="0.4">
      <c r="A35"/>
      <c r="B35" s="4" t="s">
        <v>84</v>
      </c>
      <c r="C35" s="4" t="s">
        <v>84</v>
      </c>
      <c r="D35" t="s">
        <v>84</v>
      </c>
      <c r="E35" s="4"/>
      <c r="F35" s="2" t="s">
        <v>48</v>
      </c>
      <c r="G35" t="s">
        <v>77</v>
      </c>
    </row>
    <row r="36" spans="1:7" ht="36" customHeight="1" x14ac:dyDescent="0.4">
      <c r="A36"/>
      <c r="B36" t="s">
        <v>83</v>
      </c>
      <c r="C36" t="s">
        <v>83</v>
      </c>
      <c r="D36"/>
      <c r="E36" s="12"/>
      <c r="F36" s="2" t="s">
        <v>49</v>
      </c>
      <c r="G36"/>
    </row>
    <row r="37" spans="1:7" ht="36" customHeight="1" x14ac:dyDescent="0.4">
      <c r="A37"/>
      <c r="B37" t="s">
        <v>83</v>
      </c>
      <c r="C37" t="s">
        <v>83</v>
      </c>
      <c r="D37" t="s">
        <v>83</v>
      </c>
      <c r="E37"/>
      <c r="F37" s="2" t="s">
        <v>50</v>
      </c>
      <c r="G37"/>
    </row>
    <row r="38" spans="1:7" ht="36" customHeight="1" x14ac:dyDescent="0.4">
      <c r="A38"/>
      <c r="B38" t="s">
        <v>83</v>
      </c>
      <c r="C38" t="s">
        <v>83</v>
      </c>
      <c r="D38"/>
      <c r="E38" s="12"/>
      <c r="F38" s="2" t="s">
        <v>51</v>
      </c>
      <c r="G38"/>
    </row>
    <row r="39" spans="1:7" ht="36" customHeight="1" x14ac:dyDescent="0.4">
      <c r="A39"/>
      <c r="B39" t="s">
        <v>83</v>
      </c>
      <c r="C39" t="s">
        <v>83</v>
      </c>
      <c r="D39" t="s">
        <v>83</v>
      </c>
      <c r="E39"/>
      <c r="F39" s="2" t="s">
        <v>52</v>
      </c>
      <c r="G39"/>
    </row>
    <row r="40" spans="1:7" ht="36" customHeight="1" x14ac:dyDescent="0.4">
      <c r="A40"/>
      <c r="B40" t="s">
        <v>83</v>
      </c>
      <c r="C40" t="s">
        <v>83</v>
      </c>
      <c r="D40"/>
      <c r="E40" s="12"/>
      <c r="F40" s="2" t="s">
        <v>53</v>
      </c>
      <c r="G40"/>
    </row>
    <row r="41" spans="1:7" ht="36" customHeight="1" x14ac:dyDescent="0.4">
      <c r="A41"/>
      <c r="B41" t="s">
        <v>83</v>
      </c>
      <c r="C41" t="s">
        <v>83</v>
      </c>
      <c r="D41" t="s">
        <v>83</v>
      </c>
      <c r="E41"/>
      <c r="F41" s="2" t="s">
        <v>54</v>
      </c>
      <c r="G41"/>
    </row>
    <row r="42" spans="1:7" ht="36" customHeight="1" x14ac:dyDescent="0.4">
      <c r="A42" t="s">
        <v>80</v>
      </c>
      <c r="B42" t="s">
        <v>80</v>
      </c>
      <c r="C42" t="s">
        <v>80</v>
      </c>
      <c r="D42" t="s">
        <v>80</v>
      </c>
      <c r="E42" s="12"/>
      <c r="F42" s="2" t="s">
        <v>55</v>
      </c>
      <c r="G42"/>
    </row>
    <row r="43" spans="1:7" ht="36" customHeight="1" x14ac:dyDescent="0.4">
      <c r="A43" t="s">
        <v>79</v>
      </c>
      <c r="B43" s="4"/>
      <c r="C43" t="s">
        <v>80</v>
      </c>
      <c r="D43" t="s">
        <v>80</v>
      </c>
      <c r="E43" t="s">
        <v>80</v>
      </c>
      <c r="F43" s="2" t="s">
        <v>56</v>
      </c>
      <c r="G43"/>
    </row>
    <row r="44" spans="1:7" ht="36" customHeight="1" x14ac:dyDescent="0.4">
      <c r="A44" t="s">
        <v>79</v>
      </c>
      <c r="B44" s="4"/>
      <c r="C44" t="s">
        <v>80</v>
      </c>
      <c r="D44" t="s">
        <v>80</v>
      </c>
      <c r="E44" s="12"/>
      <c r="F44" s="2" t="s">
        <v>57</v>
      </c>
      <c r="G44"/>
    </row>
    <row r="45" spans="1:7" ht="36" customHeight="1" x14ac:dyDescent="0.4">
      <c r="A45" t="s">
        <v>79</v>
      </c>
      <c r="B45" s="4"/>
      <c r="C45" t="s">
        <v>80</v>
      </c>
      <c r="D45" t="s">
        <v>80</v>
      </c>
      <c r="E45" t="s">
        <v>80</v>
      </c>
      <c r="F45" s="2" t="s">
        <v>58</v>
      </c>
      <c r="G45"/>
    </row>
    <row r="46" spans="1:7" ht="36" customHeight="1" x14ac:dyDescent="0.4">
      <c r="A46" t="s">
        <v>79</v>
      </c>
      <c r="B46" s="4"/>
      <c r="C46" t="s">
        <v>80</v>
      </c>
      <c r="D46" t="s">
        <v>80</v>
      </c>
      <c r="E46" s="12"/>
      <c r="F46" s="2" t="s">
        <v>59</v>
      </c>
      <c r="G46"/>
    </row>
    <row r="47" spans="1:7" ht="36" customHeight="1" x14ac:dyDescent="0.4">
      <c r="A47" t="s">
        <v>79</v>
      </c>
      <c r="B47" s="4"/>
      <c r="C47" t="s">
        <v>80</v>
      </c>
      <c r="D47" t="s">
        <v>80</v>
      </c>
      <c r="E47" t="s">
        <v>80</v>
      </c>
      <c r="F47" s="2" t="s">
        <v>60</v>
      </c>
      <c r="G47"/>
    </row>
    <row r="48" spans="1:7" ht="36" customHeight="1" x14ac:dyDescent="0.4">
      <c r="A48" t="s">
        <v>79</v>
      </c>
      <c r="B48" s="4"/>
      <c r="C48" t="s">
        <v>80</v>
      </c>
      <c r="D48" t="s">
        <v>80</v>
      </c>
      <c r="E48" s="12"/>
      <c r="F48" s="2" t="s">
        <v>61</v>
      </c>
      <c r="G48"/>
    </row>
    <row r="49" spans="1:7" ht="36" customHeight="1" x14ac:dyDescent="0.4">
      <c r="A49" t="s">
        <v>79</v>
      </c>
      <c r="B49" s="4"/>
      <c r="C49" t="s">
        <v>80</v>
      </c>
      <c r="D49" t="s">
        <v>80</v>
      </c>
      <c r="E49" t="s">
        <v>80</v>
      </c>
      <c r="F49" s="2" t="s">
        <v>62</v>
      </c>
      <c r="G49"/>
    </row>
    <row r="50" spans="1:7" ht="36" customHeight="1" x14ac:dyDescent="0.4">
      <c r="A50"/>
      <c r="B50" s="4" t="s">
        <v>81</v>
      </c>
      <c r="C50" s="4" t="s">
        <v>81</v>
      </c>
      <c r="D50" s="4" t="s">
        <v>81</v>
      </c>
      <c r="E50" s="12"/>
      <c r="F50" s="2" t="s">
        <v>63</v>
      </c>
      <c r="G50"/>
    </row>
    <row r="51" spans="1:7" ht="36" customHeight="1" x14ac:dyDescent="0.4">
      <c r="A51"/>
      <c r="B51" s="4" t="s">
        <v>81</v>
      </c>
      <c r="C51" s="4" t="s">
        <v>81</v>
      </c>
      <c r="D51" s="4" t="s">
        <v>81</v>
      </c>
      <c r="E51"/>
      <c r="F51" s="2" t="s">
        <v>64</v>
      </c>
      <c r="G51"/>
    </row>
    <row r="52" spans="1:7" ht="36" customHeight="1" x14ac:dyDescent="0.4">
      <c r="A52"/>
      <c r="B52" s="4" t="s">
        <v>81</v>
      </c>
      <c r="C52" s="4" t="s">
        <v>81</v>
      </c>
      <c r="D52"/>
      <c r="E52" s="12"/>
      <c r="F52" s="2" t="s">
        <v>65</v>
      </c>
      <c r="G52"/>
    </row>
    <row r="53" spans="1:7" ht="36" customHeight="1" x14ac:dyDescent="0.4">
      <c r="A53"/>
      <c r="B53" s="4" t="s">
        <v>81</v>
      </c>
      <c r="C53" s="4" t="s">
        <v>81</v>
      </c>
      <c r="D53" s="4" t="s">
        <v>81</v>
      </c>
      <c r="E53"/>
      <c r="F53" s="2" t="s">
        <v>66</v>
      </c>
      <c r="G53"/>
    </row>
    <row r="54" spans="1:7" ht="36" customHeight="1" x14ac:dyDescent="0.4">
      <c r="A54"/>
      <c r="B54" s="4" t="s">
        <v>81</v>
      </c>
      <c r="C54" s="4" t="s">
        <v>81</v>
      </c>
      <c r="D54"/>
      <c r="E54" s="12"/>
      <c r="F54" s="2" t="s">
        <v>67</v>
      </c>
      <c r="G54"/>
    </row>
    <row r="55" spans="1:7" ht="36" customHeight="1" x14ac:dyDescent="0.4">
      <c r="A55"/>
      <c r="B55" s="4" t="s">
        <v>81</v>
      </c>
      <c r="C55" s="4" t="s">
        <v>81</v>
      </c>
      <c r="D55" s="4" t="s">
        <v>81</v>
      </c>
      <c r="E55"/>
      <c r="F55" s="2" t="s">
        <v>68</v>
      </c>
      <c r="G55"/>
    </row>
    <row r="56" spans="1:7" ht="36" customHeight="1" x14ac:dyDescent="0.4">
      <c r="A56"/>
      <c r="B56" s="4" t="s">
        <v>82</v>
      </c>
      <c r="C56" s="4" t="s">
        <v>82</v>
      </c>
      <c r="D56"/>
      <c r="E56" s="12"/>
      <c r="F56" s="2" t="s">
        <v>69</v>
      </c>
      <c r="G56"/>
    </row>
    <row r="57" spans="1:7" ht="36" customHeight="1" x14ac:dyDescent="0.4">
      <c r="A57"/>
      <c r="B57" s="4">
        <v>11</v>
      </c>
      <c r="C57" s="4">
        <v>11</v>
      </c>
      <c r="D57" s="4">
        <v>11</v>
      </c>
      <c r="E57"/>
      <c r="F57" s="2" t="s">
        <v>70</v>
      </c>
      <c r="G57"/>
    </row>
    <row r="58" spans="1:7" ht="36" customHeight="1" x14ac:dyDescent="0.4">
      <c r="A58"/>
      <c r="B58" s="4">
        <v>11</v>
      </c>
      <c r="C58" s="4">
        <v>11</v>
      </c>
      <c r="D58"/>
      <c r="E58" s="12"/>
      <c r="F58" s="2" t="s">
        <v>71</v>
      </c>
      <c r="G58"/>
    </row>
    <row r="59" spans="1:7" ht="36" customHeight="1" x14ac:dyDescent="0.4">
      <c r="A59"/>
      <c r="B59" s="4">
        <v>10</v>
      </c>
      <c r="C59" s="4">
        <v>10</v>
      </c>
      <c r="D59" s="4">
        <v>10</v>
      </c>
      <c r="E59"/>
      <c r="F59" s="2" t="s">
        <v>108</v>
      </c>
      <c r="G59"/>
    </row>
    <row r="60" spans="1:7" ht="36" customHeight="1" x14ac:dyDescent="0.4">
      <c r="A60"/>
      <c r="B60" s="4">
        <v>10</v>
      </c>
      <c r="C60" s="4">
        <v>10</v>
      </c>
      <c r="D60"/>
      <c r="E60" s="12"/>
      <c r="F60" s="2" t="s">
        <v>107</v>
      </c>
      <c r="G60"/>
    </row>
    <row r="61" spans="1:7" ht="36" customHeight="1" x14ac:dyDescent="0.4">
      <c r="A61" s="11">
        <v>0</v>
      </c>
      <c r="B61" s="11">
        <v>1</v>
      </c>
      <c r="C61" s="11">
        <v>2</v>
      </c>
      <c r="D61" s="11">
        <v>3</v>
      </c>
      <c r="E61" s="11">
        <v>4</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955AD-BE75-4102-9F56-068F093ACE7B}">
  <dimension ref="A1:AE73"/>
  <sheetViews>
    <sheetView tabSelected="1" workbookViewId="0">
      <selection activeCell="Q19" sqref="Q19"/>
    </sheetView>
  </sheetViews>
  <sheetFormatPr defaultRowHeight="18.75" x14ac:dyDescent="0.4"/>
  <sheetData>
    <row r="1" spans="1:31" x14ac:dyDescent="0.4">
      <c r="A1" s="21"/>
      <c r="B1" s="21" t="s">
        <v>114</v>
      </c>
      <c r="C1" s="21" t="s">
        <v>115</v>
      </c>
      <c r="D1" s="21" t="s">
        <v>116</v>
      </c>
      <c r="E1" s="21" t="s">
        <v>117</v>
      </c>
      <c r="F1" s="21" t="s">
        <v>118</v>
      </c>
      <c r="G1" s="21" t="s">
        <v>119</v>
      </c>
      <c r="H1" s="21" t="s">
        <v>120</v>
      </c>
      <c r="I1" s="21" t="s">
        <v>121</v>
      </c>
      <c r="J1" s="21" t="s">
        <v>122</v>
      </c>
      <c r="K1" s="21" t="s">
        <v>123</v>
      </c>
      <c r="L1" s="21" t="s">
        <v>124</v>
      </c>
      <c r="M1" s="21" t="s">
        <v>125</v>
      </c>
      <c r="N1" s="21" t="s">
        <v>126</v>
      </c>
      <c r="O1" s="21" t="s">
        <v>127</v>
      </c>
      <c r="Q1" s="21"/>
      <c r="R1" s="21" t="s">
        <v>114</v>
      </c>
      <c r="S1" s="21" t="s">
        <v>115</v>
      </c>
      <c r="T1" s="21" t="s">
        <v>116</v>
      </c>
      <c r="U1" s="21" t="s">
        <v>117</v>
      </c>
      <c r="V1" s="21" t="s">
        <v>118</v>
      </c>
      <c r="W1" s="21" t="s">
        <v>119</v>
      </c>
      <c r="X1" s="21" t="s">
        <v>120</v>
      </c>
      <c r="Y1" s="21" t="s">
        <v>121</v>
      </c>
      <c r="Z1" s="21" t="s">
        <v>122</v>
      </c>
      <c r="AA1" s="21" t="s">
        <v>123</v>
      </c>
      <c r="AB1" s="21" t="s">
        <v>124</v>
      </c>
      <c r="AC1" s="21" t="s">
        <v>125</v>
      </c>
      <c r="AD1" s="21" t="s">
        <v>126</v>
      </c>
      <c r="AE1" s="21" t="s">
        <v>127</v>
      </c>
    </row>
    <row r="2" spans="1:31" x14ac:dyDescent="0.4">
      <c r="A2" s="22">
        <v>0</v>
      </c>
      <c r="B2" s="21" t="s">
        <v>143</v>
      </c>
      <c r="C2" s="21">
        <v>9</v>
      </c>
      <c r="D2" s="21">
        <f>T2*20</f>
        <v>1000</v>
      </c>
      <c r="E2" s="21">
        <v>3</v>
      </c>
      <c r="F2" s="21">
        <v>6</v>
      </c>
      <c r="G2" s="21">
        <v>0.5</v>
      </c>
      <c r="H2" s="21">
        <v>4</v>
      </c>
      <c r="I2" s="21">
        <v>0.5</v>
      </c>
      <c r="J2" s="21">
        <v>1</v>
      </c>
      <c r="K2" s="21">
        <v>5</v>
      </c>
      <c r="L2" s="21">
        <v>0</v>
      </c>
      <c r="M2" s="21">
        <v>0.5</v>
      </c>
      <c r="N2" s="21" t="s">
        <v>129</v>
      </c>
      <c r="O2" s="21">
        <v>0</v>
      </c>
      <c r="Q2" s="22">
        <v>0</v>
      </c>
      <c r="R2" s="21" t="s">
        <v>128</v>
      </c>
      <c r="S2" s="21">
        <v>9</v>
      </c>
      <c r="T2" s="21">
        <v>50</v>
      </c>
      <c r="U2" s="21">
        <v>3</v>
      </c>
      <c r="V2" s="21">
        <v>6</v>
      </c>
      <c r="W2" s="21">
        <v>0.5</v>
      </c>
      <c r="X2" s="21">
        <v>4</v>
      </c>
      <c r="Y2" s="21">
        <v>0.5</v>
      </c>
      <c r="Z2" s="21">
        <v>1</v>
      </c>
      <c r="AA2" s="21">
        <v>5</v>
      </c>
      <c r="AB2" s="21">
        <v>0</v>
      </c>
      <c r="AC2" s="21">
        <v>0.5</v>
      </c>
      <c r="AD2" s="21" t="s">
        <v>129</v>
      </c>
      <c r="AE2" s="21">
        <v>0</v>
      </c>
    </row>
    <row r="3" spans="1:31" x14ac:dyDescent="0.4">
      <c r="A3" s="21">
        <v>1</v>
      </c>
      <c r="B3" s="21" t="s">
        <v>144</v>
      </c>
      <c r="C3" s="21">
        <v>4</v>
      </c>
      <c r="D3" s="21">
        <f t="shared" ref="D3:D10" si="0">T3*20</f>
        <v>2000</v>
      </c>
      <c r="E3" s="21">
        <v>2.5</v>
      </c>
      <c r="F3" s="21">
        <v>4.5</v>
      </c>
      <c r="G3" s="21">
        <v>0.45</v>
      </c>
      <c r="H3" s="21">
        <v>6</v>
      </c>
      <c r="I3" s="21">
        <v>0.5</v>
      </c>
      <c r="J3" s="21">
        <v>1</v>
      </c>
      <c r="K3" s="21">
        <v>10</v>
      </c>
      <c r="L3" s="21">
        <v>0</v>
      </c>
      <c r="M3" s="21">
        <v>0.75</v>
      </c>
      <c r="N3" s="21" t="s">
        <v>129</v>
      </c>
      <c r="O3" s="21">
        <v>1</v>
      </c>
      <c r="Q3" s="21">
        <v>1</v>
      </c>
      <c r="R3" s="21" t="s">
        <v>130</v>
      </c>
      <c r="S3" s="21">
        <v>4</v>
      </c>
      <c r="T3" s="21">
        <v>100</v>
      </c>
      <c r="U3" s="21">
        <v>2.5</v>
      </c>
      <c r="V3" s="21">
        <v>4.5</v>
      </c>
      <c r="W3" s="21">
        <v>0.45</v>
      </c>
      <c r="X3" s="21">
        <v>6</v>
      </c>
      <c r="Y3" s="21">
        <v>0.5</v>
      </c>
      <c r="Z3" s="21">
        <v>1</v>
      </c>
      <c r="AA3" s="21">
        <v>10</v>
      </c>
      <c r="AB3" s="21">
        <v>0</v>
      </c>
      <c r="AC3" s="21">
        <v>0.75</v>
      </c>
      <c r="AD3" s="21" t="s">
        <v>129</v>
      </c>
      <c r="AE3" s="21">
        <v>1</v>
      </c>
    </row>
    <row r="4" spans="1:31" x14ac:dyDescent="0.4">
      <c r="A4" s="21">
        <v>2</v>
      </c>
      <c r="B4" s="21" t="s">
        <v>145</v>
      </c>
      <c r="C4" s="21">
        <v>8</v>
      </c>
      <c r="D4" s="21">
        <f t="shared" si="0"/>
        <v>3000</v>
      </c>
      <c r="E4" s="21">
        <v>1.6</v>
      </c>
      <c r="F4" s="21">
        <v>6</v>
      </c>
      <c r="G4" s="21">
        <v>0.4</v>
      </c>
      <c r="H4" s="21">
        <v>6</v>
      </c>
      <c r="I4" s="21">
        <v>0.5</v>
      </c>
      <c r="J4" s="21">
        <v>1</v>
      </c>
      <c r="K4" s="21">
        <v>45</v>
      </c>
      <c r="L4" s="21">
        <v>50</v>
      </c>
      <c r="M4" s="21">
        <v>1</v>
      </c>
      <c r="N4" s="21" t="s">
        <v>129</v>
      </c>
      <c r="O4" s="21">
        <v>2</v>
      </c>
      <c r="Q4" s="21">
        <v>2</v>
      </c>
      <c r="R4" s="21" t="s">
        <v>131</v>
      </c>
      <c r="S4" s="21">
        <v>8</v>
      </c>
      <c r="T4" s="21">
        <v>150</v>
      </c>
      <c r="U4" s="21">
        <v>1.6</v>
      </c>
      <c r="V4" s="21">
        <v>6</v>
      </c>
      <c r="W4" s="21">
        <v>0.4</v>
      </c>
      <c r="X4" s="21">
        <v>6</v>
      </c>
      <c r="Y4" s="21">
        <v>0.5</v>
      </c>
      <c r="Z4" s="21">
        <v>1</v>
      </c>
      <c r="AA4" s="21">
        <v>45</v>
      </c>
      <c r="AB4" s="21">
        <v>50</v>
      </c>
      <c r="AC4" s="21">
        <v>1</v>
      </c>
      <c r="AD4" s="21" t="s">
        <v>129</v>
      </c>
      <c r="AE4" s="21">
        <v>2</v>
      </c>
    </row>
    <row r="5" spans="1:31" x14ac:dyDescent="0.4">
      <c r="A5" s="21">
        <v>3</v>
      </c>
      <c r="B5" s="21" t="s">
        <v>146</v>
      </c>
      <c r="C5" s="21">
        <v>3</v>
      </c>
      <c r="D5" s="21">
        <f t="shared" si="0"/>
        <v>4000</v>
      </c>
      <c r="E5" s="21">
        <v>1</v>
      </c>
      <c r="F5" s="21">
        <v>0.5</v>
      </c>
      <c r="G5" s="21">
        <v>0.1</v>
      </c>
      <c r="H5" s="21">
        <v>8</v>
      </c>
      <c r="I5" s="21">
        <v>1</v>
      </c>
      <c r="J5" s="21">
        <v>1</v>
      </c>
      <c r="K5" s="21">
        <v>15</v>
      </c>
      <c r="L5" s="21">
        <v>50</v>
      </c>
      <c r="M5" s="21">
        <v>1</v>
      </c>
      <c r="N5" s="21" t="s">
        <v>129</v>
      </c>
      <c r="O5" s="21">
        <v>3</v>
      </c>
      <c r="Q5" s="21">
        <v>3</v>
      </c>
      <c r="R5" s="21" t="s">
        <v>132</v>
      </c>
      <c r="S5" s="21">
        <v>3</v>
      </c>
      <c r="T5" s="21">
        <v>200</v>
      </c>
      <c r="U5" s="21">
        <v>1</v>
      </c>
      <c r="V5" s="21">
        <v>0.5</v>
      </c>
      <c r="W5" s="21">
        <v>0.1</v>
      </c>
      <c r="X5" s="21">
        <v>8</v>
      </c>
      <c r="Y5" s="21">
        <v>1</v>
      </c>
      <c r="Z5" s="21">
        <v>1</v>
      </c>
      <c r="AA5" s="21">
        <v>15</v>
      </c>
      <c r="AB5" s="21">
        <v>50</v>
      </c>
      <c r="AC5" s="21">
        <v>1</v>
      </c>
      <c r="AD5" s="21" t="s">
        <v>129</v>
      </c>
      <c r="AE5" s="21">
        <v>3</v>
      </c>
    </row>
    <row r="6" spans="1:31" x14ac:dyDescent="0.4">
      <c r="A6" s="21">
        <v>4</v>
      </c>
      <c r="B6" s="21" t="s">
        <v>147</v>
      </c>
      <c r="C6" s="21">
        <v>8</v>
      </c>
      <c r="D6" s="21">
        <f t="shared" si="0"/>
        <v>4000</v>
      </c>
      <c r="E6" s="21">
        <v>10</v>
      </c>
      <c r="F6" s="21">
        <v>0.8</v>
      </c>
      <c r="G6" s="21">
        <v>0.25</v>
      </c>
      <c r="H6" s="21">
        <v>4</v>
      </c>
      <c r="I6" s="21">
        <v>0.5</v>
      </c>
      <c r="J6" s="21">
        <v>1</v>
      </c>
      <c r="K6" s="21">
        <v>35</v>
      </c>
      <c r="L6" s="21">
        <v>0</v>
      </c>
      <c r="M6" s="21">
        <v>0.5</v>
      </c>
      <c r="N6" s="21" t="s">
        <v>134</v>
      </c>
      <c r="O6" s="21">
        <v>2</v>
      </c>
      <c r="Q6" s="21">
        <v>4</v>
      </c>
      <c r="R6" s="21" t="s">
        <v>133</v>
      </c>
      <c r="S6" s="21">
        <v>8</v>
      </c>
      <c r="T6" s="21">
        <v>200</v>
      </c>
      <c r="U6" s="21">
        <v>10</v>
      </c>
      <c r="V6" s="21">
        <v>0.8</v>
      </c>
      <c r="W6" s="21">
        <v>0.25</v>
      </c>
      <c r="X6" s="21">
        <v>4</v>
      </c>
      <c r="Y6" s="21">
        <v>0.5</v>
      </c>
      <c r="Z6" s="21">
        <v>1</v>
      </c>
      <c r="AA6" s="21">
        <v>35</v>
      </c>
      <c r="AB6" s="21">
        <v>0</v>
      </c>
      <c r="AC6" s="21">
        <v>0.5</v>
      </c>
      <c r="AD6" s="21" t="s">
        <v>134</v>
      </c>
      <c r="AE6" s="21">
        <v>2</v>
      </c>
    </row>
    <row r="7" spans="1:31" x14ac:dyDescent="0.4">
      <c r="A7" s="21">
        <v>5</v>
      </c>
      <c r="B7" s="21" t="s">
        <v>148</v>
      </c>
      <c r="C7" s="21">
        <v>6</v>
      </c>
      <c r="D7" s="21">
        <f t="shared" si="0"/>
        <v>5000</v>
      </c>
      <c r="E7" s="21">
        <v>8</v>
      </c>
      <c r="F7" s="21">
        <v>1</v>
      </c>
      <c r="G7" s="21">
        <v>0.35</v>
      </c>
      <c r="H7" s="21">
        <v>6</v>
      </c>
      <c r="I7" s="21">
        <v>0.5</v>
      </c>
      <c r="J7" s="21">
        <v>1</v>
      </c>
      <c r="K7" s="21">
        <v>55</v>
      </c>
      <c r="L7" s="21">
        <v>50</v>
      </c>
      <c r="M7" s="21">
        <v>0.75</v>
      </c>
      <c r="N7" s="21" t="s">
        <v>136</v>
      </c>
      <c r="O7" s="21">
        <v>3</v>
      </c>
      <c r="Q7" s="21">
        <v>5</v>
      </c>
      <c r="R7" s="21" t="s">
        <v>135</v>
      </c>
      <c r="S7" s="21">
        <v>6</v>
      </c>
      <c r="T7" s="21">
        <v>250</v>
      </c>
      <c r="U7" s="21">
        <v>8</v>
      </c>
      <c r="V7" s="21">
        <v>1</v>
      </c>
      <c r="W7" s="21">
        <v>0.35</v>
      </c>
      <c r="X7" s="21">
        <v>6</v>
      </c>
      <c r="Y7" s="21">
        <v>0.5</v>
      </c>
      <c r="Z7" s="21">
        <v>1</v>
      </c>
      <c r="AA7" s="21">
        <v>55</v>
      </c>
      <c r="AB7" s="21">
        <v>50</v>
      </c>
      <c r="AC7" s="21">
        <v>0.75</v>
      </c>
      <c r="AD7" s="21" t="s">
        <v>136</v>
      </c>
      <c r="AE7" s="21">
        <v>3</v>
      </c>
    </row>
    <row r="8" spans="1:31" x14ac:dyDescent="0.4">
      <c r="A8" s="21">
        <v>6</v>
      </c>
      <c r="B8" s="21" t="s">
        <v>149</v>
      </c>
      <c r="C8" s="21">
        <v>6</v>
      </c>
      <c r="D8" s="21">
        <f t="shared" si="0"/>
        <v>6000</v>
      </c>
      <c r="E8" s="21">
        <v>7</v>
      </c>
      <c r="F8" s="21">
        <v>0.9</v>
      </c>
      <c r="G8" s="21">
        <v>0.5</v>
      </c>
      <c r="H8" s="21">
        <v>8</v>
      </c>
      <c r="I8" s="21">
        <v>0.5</v>
      </c>
      <c r="J8" s="21">
        <v>1</v>
      </c>
      <c r="K8" s="21">
        <v>75</v>
      </c>
      <c r="L8" s="21">
        <v>0</v>
      </c>
      <c r="M8" s="21">
        <v>0.75</v>
      </c>
      <c r="N8" s="21" t="s">
        <v>134</v>
      </c>
      <c r="O8" s="21">
        <v>0</v>
      </c>
      <c r="Q8" s="21">
        <v>6</v>
      </c>
      <c r="R8" s="21" t="s">
        <v>137</v>
      </c>
      <c r="S8" s="21">
        <v>6</v>
      </c>
      <c r="T8" s="21">
        <v>300</v>
      </c>
      <c r="U8" s="21">
        <v>7</v>
      </c>
      <c r="V8" s="21">
        <v>0.9</v>
      </c>
      <c r="W8" s="21">
        <v>0.5</v>
      </c>
      <c r="X8" s="21">
        <v>8</v>
      </c>
      <c r="Y8" s="21">
        <v>0.5</v>
      </c>
      <c r="Z8" s="21">
        <v>1</v>
      </c>
      <c r="AA8" s="21">
        <v>75</v>
      </c>
      <c r="AB8" s="21">
        <v>0</v>
      </c>
      <c r="AC8" s="21">
        <v>0.75</v>
      </c>
      <c r="AD8" s="21" t="s">
        <v>134</v>
      </c>
      <c r="AE8" s="21">
        <v>0</v>
      </c>
    </row>
    <row r="9" spans="1:31" x14ac:dyDescent="0.4">
      <c r="A9" s="21">
        <v>7</v>
      </c>
      <c r="B9" s="21" t="s">
        <v>150</v>
      </c>
      <c r="C9" s="21">
        <v>3</v>
      </c>
      <c r="D9" s="21">
        <f t="shared" si="0"/>
        <v>8000</v>
      </c>
      <c r="E9" s="21">
        <v>6</v>
      </c>
      <c r="F9" s="21">
        <v>1.25</v>
      </c>
      <c r="G9" s="21">
        <v>0.35</v>
      </c>
      <c r="H9" s="21">
        <v>8</v>
      </c>
      <c r="I9" s="21">
        <v>0.5</v>
      </c>
      <c r="J9" s="21">
        <v>1</v>
      </c>
      <c r="K9" s="21">
        <v>110</v>
      </c>
      <c r="L9" s="21">
        <v>50</v>
      </c>
      <c r="M9" s="21">
        <v>1</v>
      </c>
      <c r="N9" s="21" t="s">
        <v>136</v>
      </c>
      <c r="O9" s="21">
        <v>2</v>
      </c>
      <c r="Q9" s="21">
        <v>7</v>
      </c>
      <c r="R9" s="21" t="s">
        <v>138</v>
      </c>
      <c r="S9" s="21">
        <v>3</v>
      </c>
      <c r="T9" s="21">
        <v>400</v>
      </c>
      <c r="U9" s="21">
        <v>6</v>
      </c>
      <c r="V9" s="21">
        <v>1.25</v>
      </c>
      <c r="W9" s="21">
        <v>0.35</v>
      </c>
      <c r="X9" s="21">
        <v>8</v>
      </c>
      <c r="Y9" s="21">
        <v>0.5</v>
      </c>
      <c r="Z9" s="21">
        <v>1</v>
      </c>
      <c r="AA9" s="21">
        <v>110</v>
      </c>
      <c r="AB9" s="21">
        <v>50</v>
      </c>
      <c r="AC9" s="21">
        <v>1</v>
      </c>
      <c r="AD9" s="21" t="s">
        <v>136</v>
      </c>
      <c r="AE9" s="21">
        <v>2</v>
      </c>
    </row>
    <row r="10" spans="1:31" x14ac:dyDescent="0.4">
      <c r="A10" s="21">
        <v>8</v>
      </c>
      <c r="B10" s="21" t="s">
        <v>151</v>
      </c>
      <c r="C10" s="21">
        <v>1</v>
      </c>
      <c r="D10" s="21">
        <f t="shared" si="0"/>
        <v>20000</v>
      </c>
      <c r="E10" s="21">
        <v>2</v>
      </c>
      <c r="F10" s="21">
        <v>3.6</v>
      </c>
      <c r="G10" s="21">
        <v>0.6</v>
      </c>
      <c r="H10" s="21">
        <v>4</v>
      </c>
      <c r="I10" s="21">
        <v>1</v>
      </c>
      <c r="J10" s="21">
        <v>1</v>
      </c>
      <c r="K10" s="21">
        <v>110</v>
      </c>
      <c r="L10" s="21">
        <v>50</v>
      </c>
      <c r="M10" s="21">
        <v>1.25</v>
      </c>
      <c r="N10" s="21" t="s">
        <v>136</v>
      </c>
      <c r="O10" s="21">
        <v>1</v>
      </c>
      <c r="Q10" s="21">
        <v>8</v>
      </c>
      <c r="R10" s="21" t="s">
        <v>139</v>
      </c>
      <c r="S10" s="21">
        <v>1</v>
      </c>
      <c r="T10" s="21">
        <v>1000</v>
      </c>
      <c r="U10" s="21">
        <v>2</v>
      </c>
      <c r="V10" s="21">
        <v>3.6</v>
      </c>
      <c r="W10" s="21">
        <v>0.6</v>
      </c>
      <c r="X10" s="21">
        <v>4</v>
      </c>
      <c r="Y10" s="21">
        <v>1</v>
      </c>
      <c r="Z10" s="21">
        <v>1</v>
      </c>
      <c r="AA10" s="21">
        <v>110</v>
      </c>
      <c r="AB10" s="21">
        <v>50</v>
      </c>
      <c r="AC10" s="21">
        <v>1.25</v>
      </c>
      <c r="AD10" s="21" t="s">
        <v>136</v>
      </c>
      <c r="AE10" s="21">
        <v>1</v>
      </c>
    </row>
    <row r="12" spans="1:31" x14ac:dyDescent="0.4">
      <c r="A12" t="s">
        <v>140</v>
      </c>
    </row>
    <row r="13" spans="1:31" x14ac:dyDescent="0.4">
      <c r="L13">
        <v>1</v>
      </c>
      <c r="M13">
        <v>2</v>
      </c>
    </row>
    <row r="14" spans="1:31" x14ac:dyDescent="0.4">
      <c r="B14">
        <v>0</v>
      </c>
      <c r="C14">
        <v>1</v>
      </c>
      <c r="D14">
        <v>2</v>
      </c>
      <c r="E14">
        <v>3</v>
      </c>
      <c r="F14">
        <v>4</v>
      </c>
      <c r="H14" t="s">
        <v>141</v>
      </c>
      <c r="K14">
        <v>1</v>
      </c>
      <c r="L14">
        <f>MOD(K14,9)</f>
        <v>1</v>
      </c>
      <c r="M14">
        <f>MOD(K14+3,8)</f>
        <v>4</v>
      </c>
    </row>
    <row r="15" spans="1:31" x14ac:dyDescent="0.4">
      <c r="A15">
        <v>0</v>
      </c>
      <c r="B15">
        <f>B$14+$A15*5</f>
        <v>0</v>
      </c>
      <c r="C15">
        <f t="shared" ref="C15:F25" si="1">C$14+$A15*5</f>
        <v>1</v>
      </c>
      <c r="D15">
        <f t="shared" si="1"/>
        <v>2</v>
      </c>
      <c r="E15">
        <f t="shared" si="1"/>
        <v>3</v>
      </c>
      <c r="F15">
        <f t="shared" si="1"/>
        <v>4</v>
      </c>
      <c r="H15" t="s">
        <v>142</v>
      </c>
      <c r="K15">
        <v>2</v>
      </c>
      <c r="L15">
        <f>MOD(K15,9)</f>
        <v>2</v>
      </c>
      <c r="M15">
        <f t="shared" ref="M15:M43" si="2">MOD(K15+3,8)</f>
        <v>5</v>
      </c>
    </row>
    <row r="16" spans="1:31" x14ac:dyDescent="0.4">
      <c r="A16">
        <v>1</v>
      </c>
      <c r="B16">
        <f>B$14+$A16*5</f>
        <v>5</v>
      </c>
      <c r="C16">
        <f t="shared" si="1"/>
        <v>6</v>
      </c>
      <c r="D16">
        <f t="shared" si="1"/>
        <v>7</v>
      </c>
      <c r="E16">
        <f t="shared" si="1"/>
        <v>8</v>
      </c>
      <c r="F16">
        <f t="shared" si="1"/>
        <v>9</v>
      </c>
      <c r="K16">
        <v>3</v>
      </c>
      <c r="L16">
        <f t="shared" ref="L16:L75" si="3">MOD(K16,9)</f>
        <v>3</v>
      </c>
      <c r="M16">
        <f t="shared" si="2"/>
        <v>6</v>
      </c>
    </row>
    <row r="17" spans="1:13" x14ac:dyDescent="0.4">
      <c r="A17">
        <v>2</v>
      </c>
      <c r="B17">
        <f t="shared" ref="B17:B25" si="4">B$14+$A17*5</f>
        <v>10</v>
      </c>
      <c r="C17">
        <f t="shared" si="1"/>
        <v>11</v>
      </c>
      <c r="D17">
        <f t="shared" si="1"/>
        <v>12</v>
      </c>
      <c r="E17">
        <f t="shared" si="1"/>
        <v>13</v>
      </c>
      <c r="F17">
        <f t="shared" si="1"/>
        <v>14</v>
      </c>
      <c r="K17">
        <v>4</v>
      </c>
      <c r="L17">
        <f t="shared" si="3"/>
        <v>4</v>
      </c>
      <c r="M17">
        <f t="shared" si="2"/>
        <v>7</v>
      </c>
    </row>
    <row r="18" spans="1:13" x14ac:dyDescent="0.4">
      <c r="A18">
        <v>3</v>
      </c>
      <c r="B18">
        <f t="shared" si="4"/>
        <v>15</v>
      </c>
      <c r="C18">
        <f t="shared" si="1"/>
        <v>16</v>
      </c>
      <c r="D18">
        <f t="shared" si="1"/>
        <v>17</v>
      </c>
      <c r="E18">
        <f t="shared" si="1"/>
        <v>18</v>
      </c>
      <c r="F18">
        <f t="shared" si="1"/>
        <v>19</v>
      </c>
      <c r="K18">
        <v>5</v>
      </c>
      <c r="L18">
        <f t="shared" si="3"/>
        <v>5</v>
      </c>
      <c r="M18">
        <f t="shared" si="2"/>
        <v>0</v>
      </c>
    </row>
    <row r="19" spans="1:13" x14ac:dyDescent="0.4">
      <c r="A19">
        <v>4</v>
      </c>
      <c r="B19">
        <f t="shared" si="4"/>
        <v>20</v>
      </c>
      <c r="C19">
        <f t="shared" si="1"/>
        <v>21</v>
      </c>
      <c r="D19">
        <f t="shared" si="1"/>
        <v>22</v>
      </c>
      <c r="E19">
        <f t="shared" si="1"/>
        <v>23</v>
      </c>
      <c r="F19">
        <f t="shared" si="1"/>
        <v>24</v>
      </c>
      <c r="K19">
        <v>6</v>
      </c>
      <c r="L19">
        <f t="shared" si="3"/>
        <v>6</v>
      </c>
      <c r="M19">
        <f t="shared" si="2"/>
        <v>1</v>
      </c>
    </row>
    <row r="20" spans="1:13" x14ac:dyDescent="0.4">
      <c r="A20">
        <v>5</v>
      </c>
      <c r="B20">
        <f t="shared" si="4"/>
        <v>25</v>
      </c>
      <c r="C20">
        <f t="shared" si="1"/>
        <v>26</v>
      </c>
      <c r="D20">
        <f t="shared" si="1"/>
        <v>27</v>
      </c>
      <c r="E20">
        <f t="shared" si="1"/>
        <v>28</v>
      </c>
      <c r="F20">
        <f t="shared" si="1"/>
        <v>29</v>
      </c>
      <c r="K20">
        <v>7</v>
      </c>
      <c r="L20">
        <f t="shared" si="3"/>
        <v>7</v>
      </c>
      <c r="M20">
        <f t="shared" si="2"/>
        <v>2</v>
      </c>
    </row>
    <row r="21" spans="1:13" x14ac:dyDescent="0.4">
      <c r="A21">
        <v>6</v>
      </c>
      <c r="B21">
        <f t="shared" si="4"/>
        <v>30</v>
      </c>
      <c r="C21">
        <f t="shared" si="1"/>
        <v>31</v>
      </c>
      <c r="D21">
        <f t="shared" si="1"/>
        <v>32</v>
      </c>
      <c r="E21">
        <f t="shared" si="1"/>
        <v>33</v>
      </c>
      <c r="F21">
        <f t="shared" si="1"/>
        <v>34</v>
      </c>
      <c r="K21">
        <v>8</v>
      </c>
      <c r="L21">
        <f t="shared" si="3"/>
        <v>8</v>
      </c>
      <c r="M21">
        <f t="shared" si="2"/>
        <v>3</v>
      </c>
    </row>
    <row r="22" spans="1:13" x14ac:dyDescent="0.4">
      <c r="A22">
        <v>7</v>
      </c>
      <c r="B22">
        <f t="shared" si="4"/>
        <v>35</v>
      </c>
      <c r="C22">
        <f t="shared" si="1"/>
        <v>36</v>
      </c>
      <c r="D22">
        <f t="shared" si="1"/>
        <v>37</v>
      </c>
      <c r="E22">
        <f t="shared" si="1"/>
        <v>38</v>
      </c>
      <c r="F22">
        <f t="shared" si="1"/>
        <v>39</v>
      </c>
      <c r="K22">
        <v>9</v>
      </c>
      <c r="L22">
        <f t="shared" si="3"/>
        <v>0</v>
      </c>
      <c r="M22">
        <f t="shared" si="2"/>
        <v>4</v>
      </c>
    </row>
    <row r="23" spans="1:13" x14ac:dyDescent="0.4">
      <c r="A23">
        <v>8</v>
      </c>
      <c r="B23">
        <f t="shared" si="4"/>
        <v>40</v>
      </c>
      <c r="C23">
        <f t="shared" si="1"/>
        <v>41</v>
      </c>
      <c r="D23">
        <f t="shared" si="1"/>
        <v>42</v>
      </c>
      <c r="E23">
        <f t="shared" si="1"/>
        <v>43</v>
      </c>
      <c r="F23">
        <f t="shared" si="1"/>
        <v>44</v>
      </c>
      <c r="K23">
        <v>10</v>
      </c>
      <c r="L23">
        <f t="shared" si="3"/>
        <v>1</v>
      </c>
      <c r="M23">
        <f t="shared" si="2"/>
        <v>5</v>
      </c>
    </row>
    <row r="24" spans="1:13" x14ac:dyDescent="0.4">
      <c r="A24">
        <v>9</v>
      </c>
      <c r="B24">
        <f t="shared" si="4"/>
        <v>45</v>
      </c>
      <c r="C24">
        <f t="shared" si="1"/>
        <v>46</v>
      </c>
      <c r="D24">
        <f t="shared" si="1"/>
        <v>47</v>
      </c>
      <c r="E24">
        <f t="shared" si="1"/>
        <v>48</v>
      </c>
      <c r="F24">
        <f t="shared" si="1"/>
        <v>49</v>
      </c>
      <c r="K24">
        <v>11</v>
      </c>
      <c r="L24">
        <f t="shared" si="3"/>
        <v>2</v>
      </c>
      <c r="M24">
        <f t="shared" si="2"/>
        <v>6</v>
      </c>
    </row>
    <row r="25" spans="1:13" x14ac:dyDescent="0.4">
      <c r="A25">
        <v>10</v>
      </c>
      <c r="B25">
        <f t="shared" si="4"/>
        <v>50</v>
      </c>
      <c r="C25">
        <f t="shared" si="1"/>
        <v>51</v>
      </c>
      <c r="D25">
        <f t="shared" si="1"/>
        <v>52</v>
      </c>
      <c r="E25">
        <f t="shared" si="1"/>
        <v>53</v>
      </c>
      <c r="F25">
        <f t="shared" si="1"/>
        <v>54</v>
      </c>
      <c r="K25">
        <v>12</v>
      </c>
      <c r="L25">
        <f t="shared" si="3"/>
        <v>3</v>
      </c>
      <c r="M25">
        <f t="shared" si="2"/>
        <v>7</v>
      </c>
    </row>
    <row r="26" spans="1:13" x14ac:dyDescent="0.4">
      <c r="K26">
        <v>13</v>
      </c>
      <c r="L26">
        <f t="shared" si="3"/>
        <v>4</v>
      </c>
      <c r="M26">
        <f t="shared" si="2"/>
        <v>0</v>
      </c>
    </row>
    <row r="27" spans="1:13" x14ac:dyDescent="0.4">
      <c r="K27">
        <v>14</v>
      </c>
      <c r="L27">
        <f t="shared" si="3"/>
        <v>5</v>
      </c>
      <c r="M27">
        <f t="shared" si="2"/>
        <v>1</v>
      </c>
    </row>
    <row r="28" spans="1:13" x14ac:dyDescent="0.4">
      <c r="K28">
        <v>15</v>
      </c>
      <c r="L28">
        <f t="shared" si="3"/>
        <v>6</v>
      </c>
      <c r="M28">
        <f t="shared" si="2"/>
        <v>2</v>
      </c>
    </row>
    <row r="29" spans="1:13" x14ac:dyDescent="0.4">
      <c r="K29">
        <v>16</v>
      </c>
      <c r="L29">
        <f t="shared" si="3"/>
        <v>7</v>
      </c>
      <c r="M29">
        <f t="shared" si="2"/>
        <v>3</v>
      </c>
    </row>
    <row r="30" spans="1:13" x14ac:dyDescent="0.4">
      <c r="K30">
        <v>17</v>
      </c>
      <c r="L30">
        <f t="shared" si="3"/>
        <v>8</v>
      </c>
      <c r="M30">
        <f t="shared" si="2"/>
        <v>4</v>
      </c>
    </row>
    <row r="31" spans="1:13" x14ac:dyDescent="0.4">
      <c r="K31">
        <v>18</v>
      </c>
      <c r="L31">
        <f t="shared" si="3"/>
        <v>0</v>
      </c>
      <c r="M31">
        <f t="shared" si="2"/>
        <v>5</v>
      </c>
    </row>
    <row r="32" spans="1:13" x14ac:dyDescent="0.4">
      <c r="K32">
        <v>19</v>
      </c>
      <c r="L32">
        <f t="shared" si="3"/>
        <v>1</v>
      </c>
      <c r="M32">
        <f t="shared" si="2"/>
        <v>6</v>
      </c>
    </row>
    <row r="33" spans="11:13" x14ac:dyDescent="0.4">
      <c r="K33">
        <v>20</v>
      </c>
      <c r="L33">
        <f t="shared" si="3"/>
        <v>2</v>
      </c>
      <c r="M33">
        <f t="shared" si="2"/>
        <v>7</v>
      </c>
    </row>
    <row r="34" spans="11:13" x14ac:dyDescent="0.4">
      <c r="K34">
        <v>21</v>
      </c>
      <c r="L34">
        <f t="shared" si="3"/>
        <v>3</v>
      </c>
      <c r="M34">
        <f t="shared" si="2"/>
        <v>0</v>
      </c>
    </row>
    <row r="35" spans="11:13" x14ac:dyDescent="0.4">
      <c r="K35">
        <v>22</v>
      </c>
      <c r="L35">
        <f t="shared" si="3"/>
        <v>4</v>
      </c>
      <c r="M35">
        <f t="shared" si="2"/>
        <v>1</v>
      </c>
    </row>
    <row r="36" spans="11:13" x14ac:dyDescent="0.4">
      <c r="K36">
        <v>23</v>
      </c>
      <c r="L36">
        <f t="shared" si="3"/>
        <v>5</v>
      </c>
      <c r="M36">
        <f t="shared" si="2"/>
        <v>2</v>
      </c>
    </row>
    <row r="37" spans="11:13" x14ac:dyDescent="0.4">
      <c r="K37">
        <v>24</v>
      </c>
      <c r="L37">
        <f t="shared" si="3"/>
        <v>6</v>
      </c>
      <c r="M37">
        <f t="shared" si="2"/>
        <v>3</v>
      </c>
    </row>
    <row r="38" spans="11:13" x14ac:dyDescent="0.4">
      <c r="K38">
        <v>25</v>
      </c>
      <c r="L38">
        <f t="shared" si="3"/>
        <v>7</v>
      </c>
      <c r="M38">
        <f t="shared" si="2"/>
        <v>4</v>
      </c>
    </row>
    <row r="39" spans="11:13" x14ac:dyDescent="0.4">
      <c r="K39">
        <v>26</v>
      </c>
      <c r="L39">
        <f t="shared" si="3"/>
        <v>8</v>
      </c>
      <c r="M39">
        <f t="shared" si="2"/>
        <v>5</v>
      </c>
    </row>
    <row r="40" spans="11:13" x14ac:dyDescent="0.4">
      <c r="K40">
        <v>27</v>
      </c>
      <c r="L40">
        <f t="shared" si="3"/>
        <v>0</v>
      </c>
      <c r="M40">
        <f t="shared" si="2"/>
        <v>6</v>
      </c>
    </row>
    <row r="41" spans="11:13" x14ac:dyDescent="0.4">
      <c r="K41">
        <v>28</v>
      </c>
      <c r="L41">
        <f t="shared" si="3"/>
        <v>1</v>
      </c>
      <c r="M41">
        <f t="shared" si="2"/>
        <v>7</v>
      </c>
    </row>
    <row r="42" spans="11:13" x14ac:dyDescent="0.4">
      <c r="K42">
        <v>29</v>
      </c>
      <c r="L42">
        <f t="shared" si="3"/>
        <v>2</v>
      </c>
      <c r="M42">
        <f t="shared" si="2"/>
        <v>0</v>
      </c>
    </row>
    <row r="43" spans="11:13" x14ac:dyDescent="0.4">
      <c r="K43">
        <v>30</v>
      </c>
      <c r="L43">
        <f t="shared" si="3"/>
        <v>3</v>
      </c>
      <c r="M43">
        <f t="shared" si="2"/>
        <v>1</v>
      </c>
    </row>
    <row r="44" spans="11:13" x14ac:dyDescent="0.4">
      <c r="K44">
        <v>31</v>
      </c>
      <c r="L44">
        <f t="shared" si="3"/>
        <v>4</v>
      </c>
      <c r="M44">
        <f t="shared" ref="M44:M75" si="5">MOD(K44+3,8)</f>
        <v>2</v>
      </c>
    </row>
    <row r="45" spans="11:13" x14ac:dyDescent="0.4">
      <c r="K45">
        <v>32</v>
      </c>
      <c r="L45">
        <f t="shared" si="3"/>
        <v>5</v>
      </c>
      <c r="M45">
        <f t="shared" si="5"/>
        <v>3</v>
      </c>
    </row>
    <row r="46" spans="11:13" x14ac:dyDescent="0.4">
      <c r="K46">
        <v>33</v>
      </c>
      <c r="L46">
        <f t="shared" si="3"/>
        <v>6</v>
      </c>
      <c r="M46">
        <f t="shared" si="5"/>
        <v>4</v>
      </c>
    </row>
    <row r="47" spans="11:13" x14ac:dyDescent="0.4">
      <c r="K47">
        <v>34</v>
      </c>
      <c r="L47">
        <f t="shared" si="3"/>
        <v>7</v>
      </c>
      <c r="M47">
        <f t="shared" si="5"/>
        <v>5</v>
      </c>
    </row>
    <row r="48" spans="11:13" x14ac:dyDescent="0.4">
      <c r="K48">
        <v>35</v>
      </c>
      <c r="L48">
        <f t="shared" si="3"/>
        <v>8</v>
      </c>
      <c r="M48">
        <f t="shared" si="5"/>
        <v>6</v>
      </c>
    </row>
    <row r="49" spans="11:13" x14ac:dyDescent="0.4">
      <c r="K49">
        <v>36</v>
      </c>
      <c r="L49">
        <f t="shared" si="3"/>
        <v>0</v>
      </c>
      <c r="M49">
        <f t="shared" si="5"/>
        <v>7</v>
      </c>
    </row>
    <row r="50" spans="11:13" x14ac:dyDescent="0.4">
      <c r="K50">
        <v>37</v>
      </c>
      <c r="L50">
        <f t="shared" si="3"/>
        <v>1</v>
      </c>
      <c r="M50">
        <f t="shared" si="5"/>
        <v>0</v>
      </c>
    </row>
    <row r="51" spans="11:13" x14ac:dyDescent="0.4">
      <c r="K51">
        <v>38</v>
      </c>
      <c r="L51">
        <f t="shared" si="3"/>
        <v>2</v>
      </c>
      <c r="M51">
        <f t="shared" si="5"/>
        <v>1</v>
      </c>
    </row>
    <row r="52" spans="11:13" x14ac:dyDescent="0.4">
      <c r="K52">
        <v>39</v>
      </c>
      <c r="L52">
        <f t="shared" si="3"/>
        <v>3</v>
      </c>
      <c r="M52">
        <f t="shared" si="5"/>
        <v>2</v>
      </c>
    </row>
    <row r="53" spans="11:13" x14ac:dyDescent="0.4">
      <c r="K53">
        <v>40</v>
      </c>
      <c r="L53">
        <f t="shared" si="3"/>
        <v>4</v>
      </c>
      <c r="M53">
        <f t="shared" si="5"/>
        <v>3</v>
      </c>
    </row>
    <row r="54" spans="11:13" x14ac:dyDescent="0.4">
      <c r="K54">
        <v>41</v>
      </c>
      <c r="L54">
        <f t="shared" si="3"/>
        <v>5</v>
      </c>
      <c r="M54">
        <f t="shared" si="5"/>
        <v>4</v>
      </c>
    </row>
    <row r="55" spans="11:13" x14ac:dyDescent="0.4">
      <c r="K55">
        <v>42</v>
      </c>
      <c r="L55">
        <f t="shared" si="3"/>
        <v>6</v>
      </c>
      <c r="M55">
        <f t="shared" si="5"/>
        <v>5</v>
      </c>
    </row>
    <row r="56" spans="11:13" x14ac:dyDescent="0.4">
      <c r="K56">
        <v>43</v>
      </c>
      <c r="L56">
        <f t="shared" si="3"/>
        <v>7</v>
      </c>
      <c r="M56">
        <f t="shared" si="5"/>
        <v>6</v>
      </c>
    </row>
    <row r="57" spans="11:13" x14ac:dyDescent="0.4">
      <c r="K57">
        <v>44</v>
      </c>
      <c r="L57">
        <f t="shared" si="3"/>
        <v>8</v>
      </c>
      <c r="M57">
        <f t="shared" si="5"/>
        <v>7</v>
      </c>
    </row>
    <row r="58" spans="11:13" x14ac:dyDescent="0.4">
      <c r="K58">
        <v>45</v>
      </c>
      <c r="L58">
        <f t="shared" si="3"/>
        <v>0</v>
      </c>
      <c r="M58">
        <f t="shared" si="5"/>
        <v>0</v>
      </c>
    </row>
    <row r="59" spans="11:13" x14ac:dyDescent="0.4">
      <c r="K59">
        <v>46</v>
      </c>
      <c r="L59">
        <f t="shared" si="3"/>
        <v>1</v>
      </c>
      <c r="M59">
        <f t="shared" si="5"/>
        <v>1</v>
      </c>
    </row>
    <row r="60" spans="11:13" x14ac:dyDescent="0.4">
      <c r="K60">
        <v>47</v>
      </c>
      <c r="L60">
        <f t="shared" si="3"/>
        <v>2</v>
      </c>
      <c r="M60">
        <f t="shared" si="5"/>
        <v>2</v>
      </c>
    </row>
    <row r="61" spans="11:13" x14ac:dyDescent="0.4">
      <c r="K61">
        <v>48</v>
      </c>
      <c r="L61">
        <f t="shared" si="3"/>
        <v>3</v>
      </c>
      <c r="M61">
        <f t="shared" si="5"/>
        <v>3</v>
      </c>
    </row>
    <row r="62" spans="11:13" x14ac:dyDescent="0.4">
      <c r="K62">
        <v>49</v>
      </c>
      <c r="L62">
        <f t="shared" si="3"/>
        <v>4</v>
      </c>
      <c r="M62">
        <f t="shared" si="5"/>
        <v>4</v>
      </c>
    </row>
    <row r="63" spans="11:13" x14ac:dyDescent="0.4">
      <c r="K63">
        <v>50</v>
      </c>
      <c r="L63">
        <f t="shared" si="3"/>
        <v>5</v>
      </c>
      <c r="M63">
        <f t="shared" si="5"/>
        <v>5</v>
      </c>
    </row>
    <row r="64" spans="11:13" x14ac:dyDescent="0.4">
      <c r="K64">
        <v>51</v>
      </c>
      <c r="L64">
        <f t="shared" si="3"/>
        <v>6</v>
      </c>
      <c r="M64">
        <f t="shared" si="5"/>
        <v>6</v>
      </c>
    </row>
    <row r="65" spans="11:13" x14ac:dyDescent="0.4">
      <c r="K65">
        <v>52</v>
      </c>
      <c r="L65">
        <f t="shared" si="3"/>
        <v>7</v>
      </c>
      <c r="M65">
        <f t="shared" si="5"/>
        <v>7</v>
      </c>
    </row>
    <row r="66" spans="11:13" x14ac:dyDescent="0.4">
      <c r="K66">
        <v>53</v>
      </c>
      <c r="L66">
        <f t="shared" si="3"/>
        <v>8</v>
      </c>
      <c r="M66">
        <f t="shared" si="5"/>
        <v>0</v>
      </c>
    </row>
    <row r="67" spans="11:13" x14ac:dyDescent="0.4">
      <c r="K67">
        <v>54</v>
      </c>
      <c r="L67">
        <f t="shared" si="3"/>
        <v>0</v>
      </c>
      <c r="M67">
        <f t="shared" si="5"/>
        <v>1</v>
      </c>
    </row>
    <row r="68" spans="11:13" x14ac:dyDescent="0.4">
      <c r="K68">
        <v>55</v>
      </c>
      <c r="L68">
        <f t="shared" si="3"/>
        <v>1</v>
      </c>
      <c r="M68">
        <f t="shared" si="5"/>
        <v>2</v>
      </c>
    </row>
    <row r="69" spans="11:13" x14ac:dyDescent="0.4">
      <c r="K69">
        <v>56</v>
      </c>
      <c r="L69">
        <f t="shared" si="3"/>
        <v>2</v>
      </c>
      <c r="M69">
        <f t="shared" si="5"/>
        <v>3</v>
      </c>
    </row>
    <row r="70" spans="11:13" x14ac:dyDescent="0.4">
      <c r="K70">
        <v>57</v>
      </c>
      <c r="L70">
        <f t="shared" si="3"/>
        <v>3</v>
      </c>
      <c r="M70">
        <f t="shared" si="5"/>
        <v>4</v>
      </c>
    </row>
    <row r="71" spans="11:13" x14ac:dyDescent="0.4">
      <c r="K71">
        <v>58</v>
      </c>
      <c r="L71">
        <f t="shared" si="3"/>
        <v>4</v>
      </c>
      <c r="M71">
        <f t="shared" si="5"/>
        <v>5</v>
      </c>
    </row>
    <row r="72" spans="11:13" x14ac:dyDescent="0.4">
      <c r="K72">
        <v>59</v>
      </c>
      <c r="L72">
        <f t="shared" si="3"/>
        <v>5</v>
      </c>
      <c r="M72">
        <f t="shared" si="5"/>
        <v>6</v>
      </c>
    </row>
    <row r="73" spans="11:13" x14ac:dyDescent="0.4">
      <c r="K73">
        <v>60</v>
      </c>
      <c r="L73">
        <f t="shared" si="3"/>
        <v>6</v>
      </c>
      <c r="M73">
        <f t="shared" si="5"/>
        <v>7</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49FFA-D35B-4AF1-B8C1-B7B935FDDD03}">
  <dimension ref="A1:O60"/>
  <sheetViews>
    <sheetView workbookViewId="0">
      <selection activeCell="P61" sqref="P61"/>
    </sheetView>
  </sheetViews>
  <sheetFormatPr defaultColWidth="4.5" defaultRowHeight="36" customHeight="1" x14ac:dyDescent="0.4"/>
  <sheetData>
    <row r="1" spans="1:15" ht="36" customHeight="1" x14ac:dyDescent="0.4">
      <c r="A1" s="7">
        <f>MAP!A1</f>
        <v>0</v>
      </c>
      <c r="B1" s="7"/>
      <c r="C1" s="7">
        <f>MAP!B1</f>
        <v>0</v>
      </c>
      <c r="D1" s="7"/>
      <c r="E1" s="7" t="str">
        <f>MAP!C1</f>
        <v>top of tower</v>
      </c>
      <c r="F1" s="7"/>
      <c r="G1" s="7">
        <f>MAP!D1</f>
        <v>0</v>
      </c>
      <c r="H1" s="7"/>
      <c r="I1" s="7">
        <f>MAP!E1</f>
        <v>0</v>
      </c>
      <c r="J1" s="7"/>
      <c r="K1" s="8"/>
      <c r="L1" s="8"/>
      <c r="M1" s="8"/>
      <c r="N1" s="8"/>
      <c r="O1" s="9" t="s">
        <v>0</v>
      </c>
    </row>
    <row r="2" spans="1:15" ht="36" customHeight="1" x14ac:dyDescent="0.4">
      <c r="A2" s="9"/>
      <c r="B2" s="7">
        <f>MAP!A2</f>
        <v>0</v>
      </c>
      <c r="C2" s="7"/>
      <c r="D2" s="7" t="str">
        <f>MAP!B2</f>
        <v>59f</v>
      </c>
      <c r="E2" s="7"/>
      <c r="F2" s="7" t="str">
        <f>MAP!C2</f>
        <v>59f</v>
      </c>
      <c r="G2" s="7"/>
      <c r="H2" s="7">
        <f>MAP!D2</f>
        <v>0</v>
      </c>
      <c r="I2" s="7"/>
    </row>
    <row r="3" spans="1:15" ht="36" customHeight="1" x14ac:dyDescent="0.4">
      <c r="A3" s="7">
        <f>MAP!A3</f>
        <v>0</v>
      </c>
      <c r="B3" s="7"/>
      <c r="C3" s="7" t="str">
        <f>MAP!B3</f>
        <v>ki</v>
      </c>
      <c r="D3" s="7"/>
      <c r="E3" s="7" t="str">
        <f>MAP!C3</f>
        <v>青</v>
      </c>
      <c r="F3" s="7"/>
      <c r="G3" s="7" t="str">
        <f>MAP!D3</f>
        <v>あか</v>
      </c>
      <c r="H3" s="7"/>
      <c r="I3" s="7">
        <f>MAP!E3</f>
        <v>0</v>
      </c>
      <c r="J3" s="7"/>
      <c r="K3" s="8"/>
      <c r="L3" s="8"/>
      <c r="M3" s="8"/>
      <c r="N3" s="8"/>
      <c r="O3" s="10" t="s">
        <v>1</v>
      </c>
    </row>
    <row r="4" spans="1:15" ht="36" customHeight="1" x14ac:dyDescent="0.4">
      <c r="A4" s="9"/>
      <c r="B4" s="7" t="str">
        <f>MAP!A4</f>
        <v>あお</v>
      </c>
      <c r="C4" s="7"/>
      <c r="D4" s="7" t="str">
        <f>MAP!B4</f>
        <v>黄</v>
      </c>
      <c r="E4" s="7"/>
      <c r="F4" s="7" t="str">
        <f>MAP!C4</f>
        <v>mido</v>
      </c>
      <c r="G4" s="7"/>
      <c r="H4" s="7">
        <f>MAP!D4</f>
        <v>0</v>
      </c>
      <c r="I4" s="7"/>
      <c r="J4" s="8"/>
      <c r="K4" s="8"/>
      <c r="L4" s="8"/>
      <c r="M4" s="8"/>
      <c r="N4" s="8"/>
      <c r="O4" s="10" t="s">
        <v>2</v>
      </c>
    </row>
    <row r="5" spans="1:15" ht="36" customHeight="1" x14ac:dyDescent="0.4">
      <c r="A5" s="7">
        <f>MAP!A5</f>
        <v>0</v>
      </c>
      <c r="B5" s="7"/>
      <c r="C5" s="7" t="str">
        <f>MAP!B5</f>
        <v>mura</v>
      </c>
      <c r="D5" s="7"/>
      <c r="E5" s="7" t="str">
        <f>MAP!C5</f>
        <v>緑</v>
      </c>
      <c r="F5" s="7"/>
      <c r="G5" s="7" t="str">
        <f>MAP!D5</f>
        <v>きいろ</v>
      </c>
      <c r="H5" s="7"/>
      <c r="I5" s="7">
        <f>MAP!E5</f>
        <v>0</v>
      </c>
      <c r="J5" s="7"/>
      <c r="K5" s="8"/>
      <c r="L5" s="8"/>
      <c r="M5" s="8"/>
      <c r="N5" s="8"/>
      <c r="O5" s="9" t="s">
        <v>3</v>
      </c>
    </row>
    <row r="6" spans="1:15" ht="36" customHeight="1" x14ac:dyDescent="0.4">
      <c r="A6" s="9"/>
      <c r="B6" s="7" t="str">
        <f>MAP!A6</f>
        <v>き</v>
      </c>
      <c r="C6" s="7"/>
      <c r="D6" s="7" t="str">
        <f>MAP!B6</f>
        <v>aka</v>
      </c>
      <c r="E6" s="7"/>
      <c r="F6" s="7" t="str">
        <f>MAP!C6</f>
        <v>紫</v>
      </c>
      <c r="G6" s="7"/>
      <c r="H6" s="7" t="str">
        <f>MAP!D6</f>
        <v>みど</v>
      </c>
      <c r="I6" s="7"/>
      <c r="J6" s="8"/>
      <c r="K6" s="8"/>
      <c r="L6" s="8"/>
      <c r="M6" s="8"/>
      <c r="N6" s="8"/>
      <c r="O6" s="9" t="s">
        <v>7</v>
      </c>
    </row>
    <row r="7" spans="1:15" ht="36" customHeight="1" x14ac:dyDescent="0.4">
      <c r="A7" s="7">
        <f>MAP!A7</f>
        <v>0</v>
      </c>
      <c r="B7" s="7"/>
      <c r="C7" s="7" t="str">
        <f>MAP!B7</f>
        <v>ao</v>
      </c>
      <c r="D7" s="7"/>
      <c r="E7" s="7" t="str">
        <f>MAP!C7</f>
        <v>むら</v>
      </c>
      <c r="F7" s="7"/>
      <c r="G7" s="7" t="str">
        <f>MAP!D7</f>
        <v>赤</v>
      </c>
      <c r="H7" s="7"/>
      <c r="I7" s="7">
        <f>MAP!E7</f>
        <v>0</v>
      </c>
      <c r="J7" s="7"/>
      <c r="K7" s="8"/>
      <c r="L7" s="8"/>
      <c r="M7" s="8"/>
      <c r="N7" s="8"/>
      <c r="O7" s="9" t="s">
        <v>4</v>
      </c>
    </row>
    <row r="8" spans="1:15" ht="36" customHeight="1" x14ac:dyDescent="0.4">
      <c r="A8" s="9"/>
      <c r="B8" s="7">
        <f>MAP!A8</f>
        <v>0</v>
      </c>
      <c r="C8" s="7"/>
      <c r="D8" s="7" t="str">
        <f>MAP!B8</f>
        <v>黒</v>
      </c>
      <c r="E8" s="7"/>
      <c r="F8" s="7" t="str">
        <f>MAP!C8</f>
        <v>黒</v>
      </c>
      <c r="G8" s="7"/>
      <c r="H8" s="7">
        <f>MAP!D8</f>
        <v>0</v>
      </c>
      <c r="I8" s="7"/>
      <c r="J8" s="8"/>
      <c r="K8" s="8"/>
      <c r="L8" s="8"/>
      <c r="M8" s="8"/>
      <c r="N8" s="8"/>
      <c r="O8" s="9" t="s">
        <v>5</v>
      </c>
    </row>
    <row r="9" spans="1:15" ht="36" customHeight="1" x14ac:dyDescent="0.4">
      <c r="A9" s="7">
        <f>MAP!A9</f>
        <v>0</v>
      </c>
      <c r="B9" s="7"/>
      <c r="C9" s="7" t="str">
        <f>MAP!B9</f>
        <v>黒</v>
      </c>
      <c r="D9" s="7"/>
      <c r="E9" s="7" t="str">
        <f>MAP!C9</f>
        <v>黒</v>
      </c>
      <c r="F9" s="7"/>
      <c r="G9" s="7" t="str">
        <f>MAP!D9</f>
        <v>黒</v>
      </c>
      <c r="H9" s="7"/>
      <c r="I9" s="7">
        <f>MAP!E9</f>
        <v>0</v>
      </c>
      <c r="J9" s="7"/>
      <c r="K9" s="8"/>
      <c r="L9" s="8"/>
      <c r="M9" s="8"/>
      <c r="N9" s="8"/>
      <c r="O9" s="9" t="s">
        <v>6</v>
      </c>
    </row>
    <row r="10" spans="1:15" ht="36" customHeight="1" x14ac:dyDescent="0.4">
      <c r="A10" s="9"/>
      <c r="B10" s="7">
        <f>MAP!A10</f>
        <v>0</v>
      </c>
      <c r="C10" s="7"/>
      <c r="D10" s="7" t="str">
        <f>MAP!B10</f>
        <v>黒</v>
      </c>
      <c r="E10" s="7"/>
      <c r="F10" s="7" t="str">
        <f>MAP!C10</f>
        <v>黒</v>
      </c>
      <c r="G10" s="7"/>
      <c r="H10" s="7" t="str">
        <f>MAP!D10</f>
        <v>黒</v>
      </c>
      <c r="I10" s="7"/>
      <c r="J10" s="8"/>
      <c r="K10" s="8"/>
      <c r="L10" s="8"/>
      <c r="M10" s="8"/>
      <c r="N10" s="8"/>
      <c r="O10" s="9" t="s">
        <v>8</v>
      </c>
    </row>
    <row r="11" spans="1:15" ht="36" customHeight="1" x14ac:dyDescent="0.4">
      <c r="A11" s="7" t="str">
        <f>MAP!A11</f>
        <v>黒</v>
      </c>
      <c r="B11" s="7"/>
      <c r="C11" s="7" t="str">
        <f>MAP!B11</f>
        <v>黒</v>
      </c>
      <c r="D11" s="7"/>
      <c r="E11" s="7" t="str">
        <f>MAP!C11</f>
        <v>黒</v>
      </c>
      <c r="F11" s="7"/>
      <c r="G11" s="7" t="str">
        <f>MAP!D11</f>
        <v>黒</v>
      </c>
      <c r="H11" s="7"/>
      <c r="I11" s="7">
        <f>MAP!E11</f>
        <v>0</v>
      </c>
      <c r="J11" s="7"/>
      <c r="K11" s="8"/>
      <c r="L11" s="8"/>
      <c r="M11" s="8"/>
      <c r="N11" s="8"/>
      <c r="O11" s="9" t="s">
        <v>9</v>
      </c>
    </row>
    <row r="12" spans="1:15" ht="36" customHeight="1" x14ac:dyDescent="0.4">
      <c r="A12" s="9"/>
      <c r="B12" s="7">
        <f>MAP!A12</f>
        <v>0</v>
      </c>
      <c r="C12" s="7"/>
      <c r="D12" s="7" t="str">
        <f>MAP!B12</f>
        <v>黒</v>
      </c>
      <c r="E12" s="7"/>
      <c r="F12" s="7" t="str">
        <f>MAP!C12</f>
        <v>黒</v>
      </c>
      <c r="G12" s="7"/>
      <c r="H12" s="7" t="str">
        <f>MAP!D12</f>
        <v>黒</v>
      </c>
      <c r="I12" s="7"/>
      <c r="J12" s="8"/>
      <c r="K12" s="8"/>
      <c r="L12" s="8"/>
      <c r="M12" s="8"/>
      <c r="N12" s="8"/>
      <c r="O12" s="9" t="s">
        <v>10</v>
      </c>
    </row>
    <row r="13" spans="1:15" ht="36" customHeight="1" x14ac:dyDescent="0.4">
      <c r="A13" s="7">
        <f>MAP!A13</f>
        <v>0</v>
      </c>
      <c r="B13" s="7"/>
      <c r="C13" s="7" t="str">
        <f>MAP!B13</f>
        <v>黒</v>
      </c>
      <c r="D13" s="7"/>
      <c r="E13" s="7" t="str">
        <f>MAP!C13</f>
        <v>黒</v>
      </c>
      <c r="F13" s="7"/>
      <c r="G13" s="7" t="str">
        <f>MAP!D13</f>
        <v>黒</v>
      </c>
      <c r="H13" s="7"/>
      <c r="I13" s="7">
        <f>MAP!E13</f>
        <v>0</v>
      </c>
      <c r="J13" s="7"/>
      <c r="O13" t="s">
        <v>11</v>
      </c>
    </row>
    <row r="14" spans="1:15" ht="36" customHeight="1" x14ac:dyDescent="0.4">
      <c r="A14" s="9"/>
      <c r="B14" s="7" t="str">
        <f>MAP!A14</f>
        <v>黒</v>
      </c>
      <c r="C14" s="7"/>
      <c r="D14" s="7" t="str">
        <f>MAP!B14</f>
        <v>黒</v>
      </c>
      <c r="E14" s="7"/>
      <c r="F14" s="7" t="str">
        <f>MAP!C14</f>
        <v>黒</v>
      </c>
      <c r="G14" s="7"/>
      <c r="H14" s="7">
        <f>MAP!D14</f>
        <v>0</v>
      </c>
      <c r="I14" s="7"/>
      <c r="J14" s="8"/>
    </row>
    <row r="15" spans="1:15" ht="36" customHeight="1" x14ac:dyDescent="0.4">
      <c r="A15" s="7">
        <f>MAP!A15</f>
        <v>0</v>
      </c>
      <c r="B15" s="7"/>
      <c r="C15" s="7" t="str">
        <f>MAP!B15</f>
        <v>黒</v>
      </c>
      <c r="D15" s="7"/>
      <c r="E15" s="7" t="str">
        <f>MAP!C15</f>
        <v>黒</v>
      </c>
      <c r="F15" s="7"/>
      <c r="G15" s="7" t="str">
        <f>MAP!D15</f>
        <v>黒</v>
      </c>
      <c r="H15" s="7"/>
      <c r="I15" s="7">
        <f>MAP!E15</f>
        <v>0</v>
      </c>
      <c r="J15" s="7"/>
    </row>
    <row r="16" spans="1:15" ht="36" customHeight="1" x14ac:dyDescent="0.4">
      <c r="A16" s="9"/>
      <c r="B16" s="7">
        <f>MAP!A16</f>
        <v>0</v>
      </c>
      <c r="C16" s="7"/>
      <c r="D16" s="7" t="str">
        <f>MAP!B16</f>
        <v>異</v>
      </c>
      <c r="E16" s="7"/>
      <c r="F16" s="7" t="str">
        <f>MAP!C16</f>
        <v>異</v>
      </c>
      <c r="G16" s="7"/>
      <c r="H16" s="7" t="str">
        <f>MAP!D16</f>
        <v>黒</v>
      </c>
      <c r="I16" s="7"/>
      <c r="J16" s="8"/>
    </row>
    <row r="17" spans="1:10" ht="36" customHeight="1" x14ac:dyDescent="0.4">
      <c r="A17" s="7">
        <f>MAP!A17</f>
        <v>0</v>
      </c>
      <c r="B17" s="7"/>
      <c r="C17" s="7" t="str">
        <f>MAP!B17</f>
        <v>異</v>
      </c>
      <c r="D17" s="7"/>
      <c r="E17" s="7" t="str">
        <f>MAP!C17</f>
        <v>異</v>
      </c>
      <c r="F17" s="7"/>
      <c r="G17" s="7" t="str">
        <f>MAP!D17</f>
        <v>異</v>
      </c>
      <c r="H17" s="7"/>
      <c r="I17" s="7">
        <f>MAP!E17</f>
        <v>0</v>
      </c>
      <c r="J17" s="7"/>
    </row>
    <row r="18" spans="1:10" ht="36" customHeight="1" x14ac:dyDescent="0.4">
      <c r="A18" s="9"/>
      <c r="B18" s="7" t="str">
        <f>MAP!A18</f>
        <v>黒</v>
      </c>
      <c r="C18" s="7"/>
      <c r="D18" s="7" t="str">
        <f>MAP!B18</f>
        <v>異</v>
      </c>
      <c r="E18" s="7"/>
      <c r="F18" s="7" t="str">
        <f>MAP!C18</f>
        <v>異</v>
      </c>
      <c r="G18" s="7"/>
      <c r="H18" s="7">
        <f>MAP!D18</f>
        <v>0</v>
      </c>
      <c r="I18" s="7"/>
      <c r="J18" s="8"/>
    </row>
    <row r="19" spans="1:10" ht="36" customHeight="1" x14ac:dyDescent="0.4">
      <c r="A19" s="7">
        <f>MAP!A19</f>
        <v>0</v>
      </c>
      <c r="B19" s="7"/>
      <c r="C19" s="7" t="str">
        <f>MAP!B19</f>
        <v>異</v>
      </c>
      <c r="D19" s="7"/>
      <c r="E19" s="7" t="str">
        <f>MAP!C19</f>
        <v>異</v>
      </c>
      <c r="F19" s="7"/>
      <c r="G19" s="7" t="str">
        <f>MAP!D19</f>
        <v>異</v>
      </c>
      <c r="H19" s="7"/>
      <c r="I19" s="7">
        <f>MAP!E19</f>
        <v>0</v>
      </c>
      <c r="J19" s="7"/>
    </row>
    <row r="20" spans="1:10" ht="36" customHeight="1" x14ac:dyDescent="0.4">
      <c r="A20" s="9"/>
      <c r="B20" s="7">
        <f>MAP!A20</f>
        <v>0</v>
      </c>
      <c r="C20" s="7"/>
      <c r="D20" s="7" t="str">
        <f>MAP!B20</f>
        <v>異</v>
      </c>
      <c r="E20" s="7"/>
      <c r="F20" s="7" t="str">
        <f>MAP!C20</f>
        <v>異</v>
      </c>
      <c r="G20" s="7"/>
      <c r="H20" s="7" t="str">
        <f>MAP!D20</f>
        <v>黒</v>
      </c>
      <c r="I20" s="7"/>
      <c r="J20" s="8"/>
    </row>
    <row r="21" spans="1:10" ht="36" customHeight="1" x14ac:dyDescent="0.4">
      <c r="A21" s="7">
        <f>MAP!A21</f>
        <v>0</v>
      </c>
      <c r="B21" s="7"/>
      <c r="C21" s="7" t="str">
        <f>MAP!B21</f>
        <v>異</v>
      </c>
      <c r="D21" s="7"/>
      <c r="E21" s="7" t="str">
        <f>MAP!C21</f>
        <v>異</v>
      </c>
      <c r="F21" s="7"/>
      <c r="G21" s="7" t="str">
        <f>MAP!D21</f>
        <v>異</v>
      </c>
      <c r="H21" s="7"/>
      <c r="I21" s="7">
        <f>MAP!E21</f>
        <v>0</v>
      </c>
      <c r="J21" s="7"/>
    </row>
    <row r="22" spans="1:10" ht="36" customHeight="1" x14ac:dyDescent="0.4">
      <c r="A22" s="9"/>
      <c r="B22" s="7" t="str">
        <f>MAP!A22</f>
        <v>黒</v>
      </c>
      <c r="C22" s="7"/>
      <c r="D22" s="7" t="str">
        <f>MAP!B22</f>
        <v>異</v>
      </c>
      <c r="E22" s="7"/>
      <c r="F22" s="7" t="str">
        <f>MAP!C22</f>
        <v>異</v>
      </c>
      <c r="G22" s="7"/>
      <c r="H22" s="7">
        <f>MAP!D22</f>
        <v>0</v>
      </c>
      <c r="I22" s="7"/>
      <c r="J22" s="8"/>
    </row>
    <row r="23" spans="1:10" ht="36" customHeight="1" x14ac:dyDescent="0.4">
      <c r="A23" s="7">
        <f>MAP!A23</f>
        <v>0</v>
      </c>
      <c r="B23" s="7"/>
      <c r="C23" s="7" t="str">
        <f>MAP!B23</f>
        <v>異</v>
      </c>
      <c r="D23" s="7"/>
      <c r="E23" s="7" t="str">
        <f>MAP!C23</f>
        <v>異</v>
      </c>
      <c r="F23" s="7"/>
      <c r="G23" s="7" t="str">
        <f>MAP!D23</f>
        <v>異</v>
      </c>
      <c r="H23" s="7"/>
      <c r="I23" s="7">
        <f>MAP!E23</f>
        <v>0</v>
      </c>
      <c r="J23" s="7"/>
    </row>
    <row r="24" spans="1:10" ht="36" customHeight="1" x14ac:dyDescent="0.4">
      <c r="A24" s="9"/>
      <c r="B24" s="7">
        <f>MAP!A24</f>
        <v>0</v>
      </c>
      <c r="C24" s="7"/>
      <c r="D24" s="7" t="str">
        <f>MAP!B24</f>
        <v>金</v>
      </c>
      <c r="E24" s="7"/>
      <c r="F24" s="7" t="str">
        <f>MAP!C24</f>
        <v>金</v>
      </c>
      <c r="G24" s="7"/>
      <c r="H24" s="7">
        <f>MAP!D24</f>
        <v>0</v>
      </c>
      <c r="I24" s="7"/>
      <c r="J24" s="8"/>
    </row>
    <row r="25" spans="1:10" ht="36" customHeight="1" x14ac:dyDescent="0.4">
      <c r="A25" s="7" t="str">
        <f>MAP!A25</f>
        <v>金</v>
      </c>
      <c r="B25" s="7"/>
      <c r="C25" s="7" t="str">
        <f>MAP!B25</f>
        <v>金</v>
      </c>
      <c r="D25" s="7"/>
      <c r="E25" s="7" t="str">
        <f>MAP!C25</f>
        <v>金</v>
      </c>
      <c r="F25" s="7"/>
      <c r="G25" s="7">
        <f>MAP!D25</f>
        <v>0</v>
      </c>
      <c r="H25" s="7"/>
      <c r="I25" s="7">
        <f>MAP!E25</f>
        <v>0</v>
      </c>
      <c r="J25" s="7"/>
    </row>
    <row r="26" spans="1:10" ht="36" customHeight="1" x14ac:dyDescent="0.4">
      <c r="A26" s="9"/>
      <c r="B26" s="7" t="str">
        <f>MAP!A26</f>
        <v>金</v>
      </c>
      <c r="C26" s="7"/>
      <c r="D26" s="7" t="str">
        <f>MAP!B26</f>
        <v>金</v>
      </c>
      <c r="E26" s="7"/>
      <c r="F26" s="7">
        <f>MAP!C26</f>
        <v>0</v>
      </c>
      <c r="G26" s="7"/>
      <c r="H26" s="7" t="str">
        <f>MAP!D26</f>
        <v>顔</v>
      </c>
      <c r="I26" s="7"/>
      <c r="J26" s="8"/>
    </row>
    <row r="27" spans="1:10" ht="36" customHeight="1" x14ac:dyDescent="0.4">
      <c r="A27" s="7" t="str">
        <f>MAP!A27</f>
        <v>炎</v>
      </c>
      <c r="B27" s="7"/>
      <c r="C27" s="7" t="str">
        <f>MAP!B27</f>
        <v>炎</v>
      </c>
      <c r="D27" s="7"/>
      <c r="E27" s="7">
        <f>MAP!C27</f>
        <v>0</v>
      </c>
      <c r="F27" s="7"/>
      <c r="G27" s="7" t="str">
        <f>MAP!D27</f>
        <v>顔</v>
      </c>
      <c r="H27" s="7"/>
      <c r="I27" s="7" t="str">
        <f>MAP!E27</f>
        <v>顔</v>
      </c>
      <c r="J27" s="7"/>
    </row>
    <row r="28" spans="1:10" ht="36" customHeight="1" x14ac:dyDescent="0.4">
      <c r="A28" s="9"/>
      <c r="B28" s="7" t="str">
        <f>MAP!A28</f>
        <v>炎</v>
      </c>
      <c r="C28" s="7"/>
      <c r="D28" s="7" t="str">
        <f>MAP!B28</f>
        <v>炎</v>
      </c>
      <c r="E28" s="7"/>
      <c r="F28" s="7">
        <f>MAP!C28</f>
        <v>0</v>
      </c>
      <c r="G28" s="7"/>
      <c r="H28" s="7" t="str">
        <f>MAP!D28</f>
        <v>顔</v>
      </c>
      <c r="I28" s="7"/>
      <c r="J28" s="8"/>
    </row>
    <row r="29" spans="1:10" ht="36" customHeight="1" x14ac:dyDescent="0.4">
      <c r="A29" s="7" t="str">
        <f>MAP!A29</f>
        <v>炎</v>
      </c>
      <c r="B29" s="7"/>
      <c r="C29" s="7" t="str">
        <f>MAP!B29</f>
        <v>炎</v>
      </c>
      <c r="D29" s="7"/>
      <c r="E29" s="7">
        <f>MAP!C29</f>
        <v>0</v>
      </c>
      <c r="F29" s="7"/>
      <c r="G29" s="7" t="str">
        <f>MAP!D29</f>
        <v>顔</v>
      </c>
      <c r="H29" s="7"/>
      <c r="I29" s="7" t="str">
        <f>MAP!E29</f>
        <v>顔</v>
      </c>
      <c r="J29" s="7"/>
    </row>
    <row r="30" spans="1:10" ht="36" customHeight="1" x14ac:dyDescent="0.4">
      <c r="A30" s="9"/>
      <c r="B30" s="7" t="str">
        <f>MAP!A30</f>
        <v>炎</v>
      </c>
      <c r="C30" s="7"/>
      <c r="D30" s="7" t="str">
        <f>MAP!B30</f>
        <v>炎</v>
      </c>
      <c r="E30" s="7"/>
      <c r="F30" s="7">
        <f>MAP!C30</f>
        <v>0</v>
      </c>
      <c r="G30" s="7"/>
      <c r="H30" s="7" t="str">
        <f>MAP!D30</f>
        <v>顔</v>
      </c>
      <c r="I30" s="7"/>
      <c r="J30" s="8"/>
    </row>
    <row r="31" spans="1:10" ht="36" customHeight="1" x14ac:dyDescent="0.4">
      <c r="A31" s="7" t="str">
        <f>MAP!A31</f>
        <v>炎</v>
      </c>
      <c r="B31" s="7"/>
      <c r="C31" s="7" t="str">
        <f>MAP!B31</f>
        <v>炎</v>
      </c>
      <c r="D31" s="7"/>
      <c r="E31" s="7">
        <f>MAP!C31</f>
        <v>0</v>
      </c>
      <c r="F31" s="7"/>
      <c r="G31" s="7" t="str">
        <f>MAP!D31</f>
        <v>顔</v>
      </c>
      <c r="H31" s="7"/>
      <c r="I31" s="7" t="str">
        <f>MAP!E31</f>
        <v>顔</v>
      </c>
      <c r="J31" s="7"/>
    </row>
    <row r="32" spans="1:10" ht="36" customHeight="1" x14ac:dyDescent="0.4">
      <c r="A32" s="9"/>
      <c r="B32" s="7" t="str">
        <f>MAP!A32</f>
        <v>炎</v>
      </c>
      <c r="C32" s="7"/>
      <c r="D32" s="7" t="str">
        <f>MAP!B32</f>
        <v>炎</v>
      </c>
      <c r="E32" s="7"/>
      <c r="F32" s="7">
        <f>MAP!C32</f>
        <v>0</v>
      </c>
      <c r="G32" s="7"/>
      <c r="H32" s="7" t="str">
        <f>MAP!D32</f>
        <v>顔</v>
      </c>
      <c r="I32" s="7"/>
      <c r="J32" s="8"/>
    </row>
    <row r="33" spans="1:10" ht="36" customHeight="1" x14ac:dyDescent="0.4">
      <c r="A33" s="7" t="str">
        <f>MAP!A33</f>
        <v>炎</v>
      </c>
      <c r="B33" s="7"/>
      <c r="C33" s="7" t="str">
        <f>MAP!B33</f>
        <v>炎</v>
      </c>
      <c r="D33" s="7"/>
      <c r="E33" s="7">
        <f>MAP!C33</f>
        <v>0</v>
      </c>
      <c r="F33" s="7"/>
      <c r="G33" s="7" t="str">
        <f>MAP!D33</f>
        <v>顔</v>
      </c>
      <c r="H33" s="7"/>
      <c r="I33" s="7" t="str">
        <f>MAP!E33</f>
        <v>顔</v>
      </c>
      <c r="J33" s="7"/>
    </row>
    <row r="34" spans="1:10" ht="36" customHeight="1" x14ac:dyDescent="0.4">
      <c r="A34" s="9"/>
      <c r="B34" s="7">
        <f>MAP!A34</f>
        <v>0</v>
      </c>
      <c r="C34" s="7"/>
      <c r="D34" s="7" t="str">
        <f>MAP!B34</f>
        <v>顔</v>
      </c>
      <c r="E34" s="7"/>
      <c r="F34" s="7" t="str">
        <f>MAP!C34</f>
        <v>顔</v>
      </c>
      <c r="G34" s="7"/>
      <c r="H34" s="7" t="str">
        <f>MAP!D34</f>
        <v>顔</v>
      </c>
      <c r="I34" s="7"/>
      <c r="J34" s="8"/>
    </row>
    <row r="35" spans="1:10" ht="36" customHeight="1" x14ac:dyDescent="0.4">
      <c r="A35" s="7">
        <f>MAP!A35</f>
        <v>0</v>
      </c>
      <c r="B35" s="7"/>
      <c r="C35" s="7" t="str">
        <f>MAP!B35</f>
        <v>顔</v>
      </c>
      <c r="D35" s="7"/>
      <c r="E35" s="7" t="str">
        <f>MAP!C35</f>
        <v>顔</v>
      </c>
      <c r="F35" s="7"/>
      <c r="G35" s="7" t="str">
        <f>MAP!D35</f>
        <v>顔</v>
      </c>
      <c r="H35" s="7"/>
      <c r="I35" s="7">
        <f>MAP!E35</f>
        <v>0</v>
      </c>
      <c r="J35" s="7"/>
    </row>
    <row r="36" spans="1:10" ht="36" customHeight="1" x14ac:dyDescent="0.4">
      <c r="A36" s="9"/>
      <c r="B36" s="7">
        <f>MAP!A36</f>
        <v>0</v>
      </c>
      <c r="C36" s="7"/>
      <c r="D36" s="7" t="str">
        <f>MAP!B36</f>
        <v>氷</v>
      </c>
      <c r="E36" s="7"/>
      <c r="F36" s="7" t="str">
        <f>MAP!C36</f>
        <v>氷</v>
      </c>
      <c r="G36" s="7"/>
      <c r="H36" s="7">
        <f>MAP!D36</f>
        <v>0</v>
      </c>
      <c r="I36" s="7"/>
      <c r="J36" s="8"/>
    </row>
    <row r="37" spans="1:10" ht="36" customHeight="1" x14ac:dyDescent="0.4">
      <c r="A37" s="7">
        <f>MAP!A37</f>
        <v>0</v>
      </c>
      <c r="B37" s="7"/>
      <c r="C37" s="7" t="str">
        <f>MAP!B37</f>
        <v>氷</v>
      </c>
      <c r="D37" s="7"/>
      <c r="E37" s="7" t="str">
        <f>MAP!C37</f>
        <v>氷</v>
      </c>
      <c r="F37" s="7"/>
      <c r="G37" s="7" t="str">
        <f>MAP!D37</f>
        <v>氷</v>
      </c>
      <c r="H37" s="7"/>
      <c r="I37" s="7">
        <f>MAP!E37</f>
        <v>0</v>
      </c>
      <c r="J37" s="7"/>
    </row>
    <row r="38" spans="1:10" ht="36" customHeight="1" x14ac:dyDescent="0.4">
      <c r="A38" s="9"/>
      <c r="B38" s="7">
        <f>MAP!A38</f>
        <v>0</v>
      </c>
      <c r="C38" s="7"/>
      <c r="D38" s="7" t="str">
        <f>MAP!B38</f>
        <v>氷</v>
      </c>
      <c r="E38" s="7"/>
      <c r="F38" s="7" t="str">
        <f>MAP!C38</f>
        <v>氷</v>
      </c>
      <c r="G38" s="7"/>
      <c r="H38" s="7">
        <f>MAP!D38</f>
        <v>0</v>
      </c>
      <c r="I38" s="7"/>
      <c r="J38" s="8"/>
    </row>
    <row r="39" spans="1:10" ht="36" customHeight="1" x14ac:dyDescent="0.4">
      <c r="A39" s="7">
        <f>MAP!A39</f>
        <v>0</v>
      </c>
      <c r="B39" s="7"/>
      <c r="C39" s="7" t="str">
        <f>MAP!B39</f>
        <v>氷</v>
      </c>
      <c r="D39" s="7"/>
      <c r="E39" s="7" t="str">
        <f>MAP!C39</f>
        <v>氷</v>
      </c>
      <c r="F39" s="7"/>
      <c r="G39" s="7" t="str">
        <f>MAP!D39</f>
        <v>氷</v>
      </c>
      <c r="H39" s="7"/>
      <c r="I39" s="7">
        <f>MAP!E39</f>
        <v>0</v>
      </c>
      <c r="J39" s="7"/>
    </row>
    <row r="40" spans="1:10" ht="36" customHeight="1" x14ac:dyDescent="0.4">
      <c r="A40" s="9"/>
      <c r="B40" s="7">
        <f>MAP!A40</f>
        <v>0</v>
      </c>
      <c r="C40" s="7"/>
      <c r="D40" s="7" t="str">
        <f>MAP!B40</f>
        <v>氷</v>
      </c>
      <c r="E40" s="7"/>
      <c r="F40" s="7" t="str">
        <f>MAP!C40</f>
        <v>氷</v>
      </c>
      <c r="G40" s="7"/>
      <c r="H40" s="7">
        <f>MAP!D40</f>
        <v>0</v>
      </c>
      <c r="I40" s="7"/>
      <c r="J40" s="8"/>
    </row>
    <row r="41" spans="1:10" ht="36" customHeight="1" x14ac:dyDescent="0.4">
      <c r="A41" s="7">
        <f>MAP!A41</f>
        <v>0</v>
      </c>
      <c r="B41" s="7"/>
      <c r="C41" s="7" t="str">
        <f>MAP!B41</f>
        <v>氷</v>
      </c>
      <c r="D41" s="7"/>
      <c r="E41" s="7" t="str">
        <f>MAP!C41</f>
        <v>氷</v>
      </c>
      <c r="F41" s="7"/>
      <c r="G41" s="7" t="str">
        <f>MAP!D41</f>
        <v>氷</v>
      </c>
      <c r="H41" s="7"/>
      <c r="I41" s="7">
        <f>MAP!E41</f>
        <v>0</v>
      </c>
      <c r="J41" s="7"/>
    </row>
    <row r="42" spans="1:10" ht="36" customHeight="1" x14ac:dyDescent="0.4">
      <c r="A42" s="9"/>
      <c r="B42" s="7" t="str">
        <f>MAP!A42</f>
        <v>樹</v>
      </c>
      <c r="C42" s="7"/>
      <c r="D42" s="7" t="str">
        <f>MAP!B42</f>
        <v>樹</v>
      </c>
      <c r="E42" s="7"/>
      <c r="F42" s="7" t="str">
        <f>MAP!C42</f>
        <v>樹</v>
      </c>
      <c r="G42" s="7"/>
      <c r="H42" s="7" t="str">
        <f>MAP!D42</f>
        <v>樹</v>
      </c>
      <c r="I42" s="7"/>
      <c r="J42" s="8"/>
    </row>
    <row r="43" spans="1:10" ht="36" customHeight="1" x14ac:dyDescent="0.4">
      <c r="A43" s="7" t="str">
        <f>MAP!A43</f>
        <v>骨</v>
      </c>
      <c r="B43" s="7"/>
      <c r="C43" s="7">
        <f>MAP!B43</f>
        <v>0</v>
      </c>
      <c r="D43" s="7"/>
      <c r="E43" s="7" t="str">
        <f>MAP!C43</f>
        <v>樹</v>
      </c>
      <c r="F43" s="7"/>
      <c r="G43" s="7" t="str">
        <f>MAP!D43</f>
        <v>樹</v>
      </c>
      <c r="H43" s="7"/>
      <c r="I43" s="7" t="str">
        <f>MAP!E43</f>
        <v>樹</v>
      </c>
      <c r="J43" s="7"/>
    </row>
    <row r="44" spans="1:10" ht="36" customHeight="1" x14ac:dyDescent="0.4">
      <c r="A44" s="9"/>
      <c r="B44" s="7" t="str">
        <f>MAP!A44</f>
        <v>骨</v>
      </c>
      <c r="C44" s="7"/>
      <c r="D44" s="7">
        <f>MAP!B44</f>
        <v>0</v>
      </c>
      <c r="E44" s="7"/>
      <c r="F44" s="7" t="str">
        <f>MAP!C44</f>
        <v>樹</v>
      </c>
      <c r="G44" s="7"/>
      <c r="H44" s="7" t="str">
        <f>MAP!D44</f>
        <v>樹</v>
      </c>
      <c r="I44" s="7"/>
      <c r="J44" s="8"/>
    </row>
    <row r="45" spans="1:10" ht="36" customHeight="1" x14ac:dyDescent="0.4">
      <c r="A45" s="7" t="str">
        <f>MAP!A45</f>
        <v>骨</v>
      </c>
      <c r="B45" s="7"/>
      <c r="C45" s="7">
        <f>MAP!B45</f>
        <v>0</v>
      </c>
      <c r="D45" s="7"/>
      <c r="E45" s="7" t="str">
        <f>MAP!C45</f>
        <v>樹</v>
      </c>
      <c r="F45" s="7"/>
      <c r="G45" s="7" t="str">
        <f>MAP!D45</f>
        <v>樹</v>
      </c>
      <c r="H45" s="7"/>
      <c r="I45" s="7" t="str">
        <f>MAP!E45</f>
        <v>樹</v>
      </c>
      <c r="J45" s="7"/>
    </row>
    <row r="46" spans="1:10" ht="36" customHeight="1" x14ac:dyDescent="0.4">
      <c r="A46" s="9"/>
      <c r="B46" s="7" t="str">
        <f>MAP!A46</f>
        <v>骨</v>
      </c>
      <c r="C46" s="7"/>
      <c r="D46" s="7">
        <f>MAP!B46</f>
        <v>0</v>
      </c>
      <c r="E46" s="7"/>
      <c r="F46" s="7" t="str">
        <f>MAP!C46</f>
        <v>樹</v>
      </c>
      <c r="G46" s="7"/>
      <c r="H46" s="7" t="str">
        <f>MAP!D46</f>
        <v>樹</v>
      </c>
      <c r="I46" s="7"/>
      <c r="J46" s="8"/>
    </row>
    <row r="47" spans="1:10" ht="36" customHeight="1" x14ac:dyDescent="0.4">
      <c r="A47" s="7" t="str">
        <f>MAP!A47</f>
        <v>骨</v>
      </c>
      <c r="B47" s="7"/>
      <c r="C47" s="7">
        <f>MAP!B47</f>
        <v>0</v>
      </c>
      <c r="D47" s="7"/>
      <c r="E47" s="7" t="str">
        <f>MAP!C47</f>
        <v>樹</v>
      </c>
      <c r="F47" s="7"/>
      <c r="G47" s="7" t="str">
        <f>MAP!D47</f>
        <v>樹</v>
      </c>
      <c r="H47" s="7"/>
      <c r="I47" s="7" t="str">
        <f>MAP!E47</f>
        <v>樹</v>
      </c>
      <c r="J47" s="7"/>
    </row>
    <row r="48" spans="1:10" ht="36" customHeight="1" x14ac:dyDescent="0.4">
      <c r="A48" s="9"/>
      <c r="B48" s="7" t="str">
        <f>MAP!A48</f>
        <v>骨</v>
      </c>
      <c r="C48" s="7"/>
      <c r="D48" s="7">
        <f>MAP!B48</f>
        <v>0</v>
      </c>
      <c r="E48" s="7"/>
      <c r="F48" s="7" t="str">
        <f>MAP!C48</f>
        <v>樹</v>
      </c>
      <c r="G48" s="7"/>
      <c r="H48" s="7" t="str">
        <f>MAP!D48</f>
        <v>樹</v>
      </c>
      <c r="I48" s="7"/>
      <c r="J48" s="8"/>
    </row>
    <row r="49" spans="1:10" ht="36" customHeight="1" x14ac:dyDescent="0.4">
      <c r="A49" s="7" t="str">
        <f>MAP!A49</f>
        <v>骨</v>
      </c>
      <c r="B49" s="7"/>
      <c r="C49" s="7">
        <f>MAP!B49</f>
        <v>0</v>
      </c>
      <c r="D49" s="7"/>
      <c r="E49" s="7" t="str">
        <f>MAP!C49</f>
        <v>樹</v>
      </c>
      <c r="F49" s="7"/>
      <c r="G49" s="7" t="str">
        <f>MAP!D49</f>
        <v>樹</v>
      </c>
      <c r="H49" s="7"/>
      <c r="I49" s="7" t="str">
        <f>MAP!E49</f>
        <v>樹</v>
      </c>
      <c r="J49" s="7"/>
    </row>
    <row r="50" spans="1:10" ht="36" customHeight="1" x14ac:dyDescent="0.4">
      <c r="A50" s="9"/>
      <c r="B50" s="7">
        <f>MAP!A50</f>
        <v>0</v>
      </c>
      <c r="C50" s="7"/>
      <c r="D50" s="7" t="str">
        <f>MAP!B50</f>
        <v>石</v>
      </c>
      <c r="E50" s="7"/>
      <c r="F50" s="7" t="str">
        <f>MAP!C50</f>
        <v>石</v>
      </c>
      <c r="G50" s="7"/>
      <c r="H50" s="7" t="str">
        <f>MAP!D50</f>
        <v>石</v>
      </c>
      <c r="I50" s="7"/>
      <c r="J50" s="8"/>
    </row>
    <row r="51" spans="1:10" ht="36" customHeight="1" x14ac:dyDescent="0.4">
      <c r="A51" s="7">
        <f>MAP!A51</f>
        <v>0</v>
      </c>
      <c r="B51" s="7"/>
      <c r="C51" s="7" t="str">
        <f>MAP!B51</f>
        <v>石</v>
      </c>
      <c r="D51" s="7"/>
      <c r="E51" s="7" t="str">
        <f>MAP!C51</f>
        <v>石</v>
      </c>
      <c r="F51" s="7"/>
      <c r="G51" s="7" t="str">
        <f>MAP!D51</f>
        <v>石</v>
      </c>
      <c r="H51" s="7"/>
      <c r="I51" s="7">
        <f>MAP!E51</f>
        <v>0</v>
      </c>
      <c r="J51" s="7"/>
    </row>
    <row r="52" spans="1:10" ht="36" customHeight="1" x14ac:dyDescent="0.4">
      <c r="A52" s="9"/>
      <c r="B52" s="7">
        <f>MAP!A52</f>
        <v>0</v>
      </c>
      <c r="C52" s="7"/>
      <c r="D52" s="7" t="str">
        <f>MAP!B52</f>
        <v>石</v>
      </c>
      <c r="E52" s="7"/>
      <c r="F52" s="7" t="str">
        <f>MAP!C52</f>
        <v>石</v>
      </c>
      <c r="G52" s="7"/>
      <c r="H52" s="7">
        <f>MAP!D52</f>
        <v>0</v>
      </c>
      <c r="I52" s="7"/>
      <c r="J52" s="8"/>
    </row>
    <row r="53" spans="1:10" ht="36" customHeight="1" x14ac:dyDescent="0.4">
      <c r="A53" s="7">
        <f>MAP!A53</f>
        <v>0</v>
      </c>
      <c r="B53" s="7"/>
      <c r="C53" s="7" t="str">
        <f>MAP!B53</f>
        <v>石</v>
      </c>
      <c r="D53" s="7"/>
      <c r="E53" s="7" t="str">
        <f>MAP!C53</f>
        <v>石</v>
      </c>
      <c r="F53" s="7"/>
      <c r="G53" s="7" t="str">
        <f>MAP!D53</f>
        <v>石</v>
      </c>
      <c r="H53" s="7"/>
      <c r="I53" s="7">
        <f>MAP!E53</f>
        <v>0</v>
      </c>
      <c r="J53" s="7"/>
    </row>
    <row r="54" spans="1:10" ht="36" customHeight="1" x14ac:dyDescent="0.4">
      <c r="A54" s="9"/>
      <c r="B54" s="7">
        <f>MAP!A54</f>
        <v>0</v>
      </c>
      <c r="C54" s="7"/>
      <c r="D54" s="7" t="str">
        <f>MAP!B54</f>
        <v>石</v>
      </c>
      <c r="E54" s="7"/>
      <c r="F54" s="7" t="str">
        <f>MAP!C54</f>
        <v>石</v>
      </c>
      <c r="G54" s="7"/>
      <c r="H54" s="7">
        <f>MAP!D54</f>
        <v>0</v>
      </c>
      <c r="I54" s="7"/>
      <c r="J54" s="8"/>
    </row>
    <row r="55" spans="1:10" ht="36" customHeight="1" x14ac:dyDescent="0.4">
      <c r="A55" s="7">
        <f>MAP!A55</f>
        <v>0</v>
      </c>
      <c r="B55" s="7"/>
      <c r="C55" s="7" t="str">
        <f>MAP!B55</f>
        <v>石</v>
      </c>
      <c r="D55" s="7"/>
      <c r="E55" s="7" t="str">
        <f>MAP!C55</f>
        <v>石</v>
      </c>
      <c r="F55" s="7"/>
      <c r="G55" s="7" t="str">
        <f>MAP!D55</f>
        <v>石</v>
      </c>
      <c r="H55" s="7"/>
      <c r="I55" s="7">
        <f>MAP!E55</f>
        <v>0</v>
      </c>
      <c r="J55" s="7"/>
    </row>
    <row r="56" spans="1:10" ht="36" customHeight="1" x14ac:dyDescent="0.4">
      <c r="A56" s="9"/>
      <c r="B56" s="7">
        <f>MAP!A56</f>
        <v>0</v>
      </c>
      <c r="C56" s="7"/>
      <c r="D56" s="7" t="str">
        <f>MAP!B56</f>
        <v>街</v>
      </c>
      <c r="E56" s="7"/>
      <c r="F56" s="7" t="str">
        <f>MAP!C56</f>
        <v>街</v>
      </c>
      <c r="G56" s="7"/>
      <c r="H56" s="7">
        <f>MAP!D56</f>
        <v>0</v>
      </c>
      <c r="I56" s="7"/>
      <c r="J56" s="8"/>
    </row>
    <row r="57" spans="1:10" ht="36" customHeight="1" x14ac:dyDescent="0.4">
      <c r="A57" s="7">
        <f>MAP!A57</f>
        <v>0</v>
      </c>
      <c r="B57" s="7"/>
      <c r="C57" s="7" t="str">
        <f>MAP!B57</f>
        <v>街</v>
      </c>
      <c r="D57" s="7"/>
      <c r="E57" s="7" t="str">
        <f>MAP!C57</f>
        <v>街</v>
      </c>
      <c r="F57" s="7"/>
      <c r="G57" s="7" t="str">
        <f>MAP!D57</f>
        <v>街</v>
      </c>
      <c r="H57" s="7"/>
      <c r="I57" s="7">
        <f>MAP!E57</f>
        <v>0</v>
      </c>
      <c r="J57" s="7"/>
    </row>
    <row r="58" spans="1:10" ht="36" customHeight="1" x14ac:dyDescent="0.4">
      <c r="A58" s="9"/>
      <c r="B58" s="7">
        <f>MAP!A58</f>
        <v>0</v>
      </c>
      <c r="C58" s="7"/>
      <c r="D58" s="7" t="str">
        <f>MAP!B58</f>
        <v>街</v>
      </c>
      <c r="E58" s="7"/>
      <c r="F58" s="7" t="str">
        <f>MAP!C58</f>
        <v>街</v>
      </c>
      <c r="G58" s="7"/>
      <c r="H58" s="7">
        <f>MAP!D58</f>
        <v>0</v>
      </c>
      <c r="I58" s="7"/>
      <c r="J58" s="8"/>
    </row>
    <row r="59" spans="1:10" ht="36" customHeight="1" x14ac:dyDescent="0.4">
      <c r="A59" s="7">
        <f>MAP!A59</f>
        <v>0</v>
      </c>
      <c r="B59" s="7"/>
      <c r="C59" s="7" t="str">
        <f>MAP!B59</f>
        <v>街</v>
      </c>
      <c r="D59" s="7"/>
      <c r="E59" s="7" t="str">
        <f>MAP!C59</f>
        <v>街</v>
      </c>
      <c r="F59" s="7"/>
      <c r="G59" s="7" t="str">
        <f>MAP!D59</f>
        <v>街</v>
      </c>
      <c r="H59" s="7"/>
      <c r="I59" s="7">
        <f>MAP!E59</f>
        <v>0</v>
      </c>
      <c r="J59" s="7"/>
    </row>
    <row r="60" spans="1:10" ht="36" customHeight="1" x14ac:dyDescent="0.4">
      <c r="A60" s="9"/>
      <c r="B60" s="7">
        <f>MAP!A60</f>
        <v>0</v>
      </c>
      <c r="C60" s="7"/>
      <c r="D60" s="7" t="str">
        <f>MAP!B60</f>
        <v>街</v>
      </c>
      <c r="E60" s="7"/>
      <c r="F60" s="7" t="str">
        <f>MAP!C60</f>
        <v>街</v>
      </c>
      <c r="G60" s="7"/>
      <c r="H60" s="7">
        <f>MAP!D60</f>
        <v>0</v>
      </c>
      <c r="I60" s="7"/>
      <c r="J60" s="8"/>
    </row>
  </sheetData>
  <mergeCells count="270">
    <mergeCell ref="A59:B59"/>
    <mergeCell ref="C59:D59"/>
    <mergeCell ref="E59:F59"/>
    <mergeCell ref="G59:H59"/>
    <mergeCell ref="I59:J59"/>
    <mergeCell ref="B60:C60"/>
    <mergeCell ref="D60:E60"/>
    <mergeCell ref="F60:G60"/>
    <mergeCell ref="H60:I60"/>
    <mergeCell ref="A57:B57"/>
    <mergeCell ref="C57:D57"/>
    <mergeCell ref="E57:F57"/>
    <mergeCell ref="G57:H57"/>
    <mergeCell ref="I57:J57"/>
    <mergeCell ref="B58:C58"/>
    <mergeCell ref="D58:E58"/>
    <mergeCell ref="F58:G58"/>
    <mergeCell ref="H58:I58"/>
    <mergeCell ref="A55:B55"/>
    <mergeCell ref="C55:D55"/>
    <mergeCell ref="E55:F55"/>
    <mergeCell ref="G55:H55"/>
    <mergeCell ref="I55:J55"/>
    <mergeCell ref="B56:C56"/>
    <mergeCell ref="D56:E56"/>
    <mergeCell ref="F56:G56"/>
    <mergeCell ref="H56:I56"/>
    <mergeCell ref="A53:B53"/>
    <mergeCell ref="C53:D53"/>
    <mergeCell ref="E53:F53"/>
    <mergeCell ref="G53:H53"/>
    <mergeCell ref="I53:J53"/>
    <mergeCell ref="B54:C54"/>
    <mergeCell ref="D54:E54"/>
    <mergeCell ref="F54:G54"/>
    <mergeCell ref="H54:I54"/>
    <mergeCell ref="A51:B51"/>
    <mergeCell ref="C51:D51"/>
    <mergeCell ref="E51:F51"/>
    <mergeCell ref="G51:H51"/>
    <mergeCell ref="I51:J51"/>
    <mergeCell ref="B52:C52"/>
    <mergeCell ref="D52:E52"/>
    <mergeCell ref="F52:G52"/>
    <mergeCell ref="H52:I52"/>
    <mergeCell ref="A49:B49"/>
    <mergeCell ref="C49:D49"/>
    <mergeCell ref="E49:F49"/>
    <mergeCell ref="G49:H49"/>
    <mergeCell ref="I49:J49"/>
    <mergeCell ref="B50:C50"/>
    <mergeCell ref="D50:E50"/>
    <mergeCell ref="F50:G50"/>
    <mergeCell ref="H50:I50"/>
    <mergeCell ref="A47:B47"/>
    <mergeCell ref="C47:D47"/>
    <mergeCell ref="E47:F47"/>
    <mergeCell ref="G47:H47"/>
    <mergeCell ref="I47:J47"/>
    <mergeCell ref="B48:C48"/>
    <mergeCell ref="D48:E48"/>
    <mergeCell ref="F48:G48"/>
    <mergeCell ref="H48:I48"/>
    <mergeCell ref="A45:B45"/>
    <mergeCell ref="C45:D45"/>
    <mergeCell ref="E45:F45"/>
    <mergeCell ref="G45:H45"/>
    <mergeCell ref="I45:J45"/>
    <mergeCell ref="B46:C46"/>
    <mergeCell ref="D46:E46"/>
    <mergeCell ref="F46:G46"/>
    <mergeCell ref="H46:I46"/>
    <mergeCell ref="A43:B43"/>
    <mergeCell ref="C43:D43"/>
    <mergeCell ref="E43:F43"/>
    <mergeCell ref="G43:H43"/>
    <mergeCell ref="I43:J43"/>
    <mergeCell ref="B44:C44"/>
    <mergeCell ref="D44:E44"/>
    <mergeCell ref="F44:G44"/>
    <mergeCell ref="H44:I44"/>
    <mergeCell ref="A41:B41"/>
    <mergeCell ref="C41:D41"/>
    <mergeCell ref="E41:F41"/>
    <mergeCell ref="G41:H41"/>
    <mergeCell ref="I41:J41"/>
    <mergeCell ref="B42:C42"/>
    <mergeCell ref="D42:E42"/>
    <mergeCell ref="F42:G42"/>
    <mergeCell ref="H42:I42"/>
    <mergeCell ref="A39:B39"/>
    <mergeCell ref="C39:D39"/>
    <mergeCell ref="E39:F39"/>
    <mergeCell ref="G39:H39"/>
    <mergeCell ref="I39:J39"/>
    <mergeCell ref="B40:C40"/>
    <mergeCell ref="D40:E40"/>
    <mergeCell ref="F40:G40"/>
    <mergeCell ref="H40:I40"/>
    <mergeCell ref="A37:B37"/>
    <mergeCell ref="C37:D37"/>
    <mergeCell ref="E37:F37"/>
    <mergeCell ref="G37:H37"/>
    <mergeCell ref="I37:J37"/>
    <mergeCell ref="B38:C38"/>
    <mergeCell ref="D38:E38"/>
    <mergeCell ref="F38:G38"/>
    <mergeCell ref="H38:I38"/>
    <mergeCell ref="A35:B35"/>
    <mergeCell ref="C35:D35"/>
    <mergeCell ref="E35:F35"/>
    <mergeCell ref="G35:H35"/>
    <mergeCell ref="I35:J35"/>
    <mergeCell ref="B36:C36"/>
    <mergeCell ref="D36:E36"/>
    <mergeCell ref="F36:G36"/>
    <mergeCell ref="H36:I36"/>
    <mergeCell ref="A33:B33"/>
    <mergeCell ref="C33:D33"/>
    <mergeCell ref="E33:F33"/>
    <mergeCell ref="G33:H33"/>
    <mergeCell ref="I33:J33"/>
    <mergeCell ref="B34:C34"/>
    <mergeCell ref="D34:E34"/>
    <mergeCell ref="F34:G34"/>
    <mergeCell ref="H34:I34"/>
    <mergeCell ref="A31:B31"/>
    <mergeCell ref="C31:D31"/>
    <mergeCell ref="E31:F31"/>
    <mergeCell ref="G31:H31"/>
    <mergeCell ref="I31:J31"/>
    <mergeCell ref="B32:C32"/>
    <mergeCell ref="D32:E32"/>
    <mergeCell ref="F32:G32"/>
    <mergeCell ref="H32:I32"/>
    <mergeCell ref="A29:B29"/>
    <mergeCell ref="C29:D29"/>
    <mergeCell ref="E29:F29"/>
    <mergeCell ref="G29:H29"/>
    <mergeCell ref="I29:J29"/>
    <mergeCell ref="B30:C30"/>
    <mergeCell ref="D30:E30"/>
    <mergeCell ref="F30:G30"/>
    <mergeCell ref="H30:I30"/>
    <mergeCell ref="A27:B27"/>
    <mergeCell ref="C27:D27"/>
    <mergeCell ref="E27:F27"/>
    <mergeCell ref="G27:H27"/>
    <mergeCell ref="I27:J27"/>
    <mergeCell ref="B28:C28"/>
    <mergeCell ref="D28:E28"/>
    <mergeCell ref="F28:G28"/>
    <mergeCell ref="H28:I28"/>
    <mergeCell ref="A25:B25"/>
    <mergeCell ref="C25:D25"/>
    <mergeCell ref="E25:F25"/>
    <mergeCell ref="G25:H25"/>
    <mergeCell ref="I25:J25"/>
    <mergeCell ref="B26:C26"/>
    <mergeCell ref="D26:E26"/>
    <mergeCell ref="F26:G26"/>
    <mergeCell ref="H26:I26"/>
    <mergeCell ref="A23:B23"/>
    <mergeCell ref="C23:D23"/>
    <mergeCell ref="E23:F23"/>
    <mergeCell ref="G23:H23"/>
    <mergeCell ref="I23:J23"/>
    <mergeCell ref="B24:C24"/>
    <mergeCell ref="D24:E24"/>
    <mergeCell ref="F24:G24"/>
    <mergeCell ref="H24:I24"/>
    <mergeCell ref="A21:B21"/>
    <mergeCell ref="C21:D21"/>
    <mergeCell ref="E21:F21"/>
    <mergeCell ref="G21:H21"/>
    <mergeCell ref="I21:J21"/>
    <mergeCell ref="B22:C22"/>
    <mergeCell ref="D22:E22"/>
    <mergeCell ref="F22:G22"/>
    <mergeCell ref="H22:I22"/>
    <mergeCell ref="A19:B19"/>
    <mergeCell ref="C19:D19"/>
    <mergeCell ref="E19:F19"/>
    <mergeCell ref="G19:H19"/>
    <mergeCell ref="I19:J19"/>
    <mergeCell ref="B20:C20"/>
    <mergeCell ref="D20:E20"/>
    <mergeCell ref="F20:G20"/>
    <mergeCell ref="H20:I20"/>
    <mergeCell ref="A17:B17"/>
    <mergeCell ref="C17:D17"/>
    <mergeCell ref="E17:F17"/>
    <mergeCell ref="G17:H17"/>
    <mergeCell ref="I17:J17"/>
    <mergeCell ref="B18:C18"/>
    <mergeCell ref="D18:E18"/>
    <mergeCell ref="F18:G18"/>
    <mergeCell ref="H18:I18"/>
    <mergeCell ref="A15:B15"/>
    <mergeCell ref="C15:D15"/>
    <mergeCell ref="E15:F15"/>
    <mergeCell ref="G15:H15"/>
    <mergeCell ref="I15:J15"/>
    <mergeCell ref="B16:C16"/>
    <mergeCell ref="D16:E16"/>
    <mergeCell ref="F16:G16"/>
    <mergeCell ref="H16:I16"/>
    <mergeCell ref="A13:B13"/>
    <mergeCell ref="C13:D13"/>
    <mergeCell ref="E13:F13"/>
    <mergeCell ref="G13:H13"/>
    <mergeCell ref="I13:J13"/>
    <mergeCell ref="B14:C14"/>
    <mergeCell ref="D14:E14"/>
    <mergeCell ref="F14:G14"/>
    <mergeCell ref="H14:I14"/>
    <mergeCell ref="B12:C12"/>
    <mergeCell ref="D12:E12"/>
    <mergeCell ref="F12:G12"/>
    <mergeCell ref="H12:I12"/>
    <mergeCell ref="A11:B11"/>
    <mergeCell ref="C11:D11"/>
    <mergeCell ref="E11:F11"/>
    <mergeCell ref="G11:H11"/>
    <mergeCell ref="I11:J11"/>
    <mergeCell ref="B10:C10"/>
    <mergeCell ref="D10:E10"/>
    <mergeCell ref="F10:G10"/>
    <mergeCell ref="H10:I10"/>
    <mergeCell ref="A9:B9"/>
    <mergeCell ref="C9:D9"/>
    <mergeCell ref="E9:F9"/>
    <mergeCell ref="G9:H9"/>
    <mergeCell ref="I9:J9"/>
    <mergeCell ref="B8:C8"/>
    <mergeCell ref="D8:E8"/>
    <mergeCell ref="F8:G8"/>
    <mergeCell ref="H8:I8"/>
    <mergeCell ref="A7:B7"/>
    <mergeCell ref="C7:D7"/>
    <mergeCell ref="E7:F7"/>
    <mergeCell ref="G7:H7"/>
    <mergeCell ref="I7:J7"/>
    <mergeCell ref="B6:C6"/>
    <mergeCell ref="D6:E6"/>
    <mergeCell ref="F6:G6"/>
    <mergeCell ref="H6:I6"/>
    <mergeCell ref="A5:B5"/>
    <mergeCell ref="C5:D5"/>
    <mergeCell ref="E5:F5"/>
    <mergeCell ref="G5:H5"/>
    <mergeCell ref="I5:J5"/>
    <mergeCell ref="B4:C4"/>
    <mergeCell ref="D4:E4"/>
    <mergeCell ref="F4:G4"/>
    <mergeCell ref="H4:I4"/>
    <mergeCell ref="B2:C2"/>
    <mergeCell ref="A3:B3"/>
    <mergeCell ref="C3:D3"/>
    <mergeCell ref="E3:F3"/>
    <mergeCell ref="G3:H3"/>
    <mergeCell ref="I3:J3"/>
    <mergeCell ref="A1:B1"/>
    <mergeCell ref="C1:D1"/>
    <mergeCell ref="E1:F1"/>
    <mergeCell ref="G1:H1"/>
    <mergeCell ref="I1:J1"/>
    <mergeCell ref="D2:E2"/>
    <mergeCell ref="F2:G2"/>
    <mergeCell ref="H2:I2"/>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MAP</vt:lpstr>
      <vt:lpstr>MAP_ELV</vt:lpstr>
      <vt:lpstr>Sheet1</vt:lpstr>
      <vt:lpstr>visual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2026-06-15T14:51:36Z</dcterms:created>
  <dcterms:modified xsi:type="dcterms:W3CDTF">2026-08-15T23:36:48Z</dcterms:modified>
</cp:coreProperties>
</file>