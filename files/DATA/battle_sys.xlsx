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C:\Users\user\.antigravity\game\files\DATA\"/>
    </mc:Choice>
  </mc:AlternateContent>
  <xr:revisionPtr revIDLastSave="0" documentId="13_ncr:1_{AFF2AE69-BAE6-489F-85B8-F8096E598B22}" xr6:coauthVersionLast="47" xr6:coauthVersionMax="47" xr10:uidLastSave="{00000000-0000-0000-0000-000000000000}"/>
  <bookViews>
    <workbookView xWindow="7995" yWindow="450" windowWidth="19005" windowHeight="14850" xr2:uid="{95876B6F-3B39-4BA7-ADFB-8B03CBB6F143}"/>
  </bookViews>
  <sheets>
    <sheet name="Sheet5" sheetId="6" r:id="rId1"/>
    <sheet name="Sheet1" sheetId="7" r:id="rId2"/>
  </sheet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58" i="6" l="1"/>
  <c r="D59" i="6"/>
  <c r="D60" i="6"/>
  <c r="D57" i="6"/>
  <c r="P60" i="6"/>
  <c r="L153" i="6"/>
  <c r="L151" i="6"/>
  <c r="L152" i="6"/>
  <c r="L150" i="6"/>
  <c r="L149" i="6"/>
</calcChain>
</file>

<file path=xl/sharedStrings.xml><?xml version="1.0" encoding="utf-8"?>
<sst xmlns="http://schemas.openxmlformats.org/spreadsheetml/2006/main" count="304" uniqueCount="241">
  <si>
    <t>戦闘</t>
    <rPh sb="0" eb="2">
      <t>セントウ</t>
    </rPh>
    <phoneticPr fontId="1"/>
  </si>
  <si>
    <t>目的</t>
    <rPh sb="0" eb="2">
      <t>モクテキ</t>
    </rPh>
    <phoneticPr fontId="1"/>
  </si>
  <si>
    <t>敵の全滅</t>
    <rPh sb="0" eb="1">
      <t>テキ</t>
    </rPh>
    <rPh sb="2" eb="4">
      <t>ゼンメツ</t>
    </rPh>
    <phoneticPr fontId="1"/>
  </si>
  <si>
    <t>一定時間の耐久</t>
    <rPh sb="0" eb="4">
      <t>イッテイジカン</t>
    </rPh>
    <rPh sb="5" eb="7">
      <t>タイキュウ</t>
    </rPh>
    <phoneticPr fontId="1"/>
  </si>
  <si>
    <t>対象の防衛</t>
    <rPh sb="0" eb="2">
      <t>タイショウ</t>
    </rPh>
    <rPh sb="3" eb="5">
      <t>ボウエイ</t>
    </rPh>
    <phoneticPr fontId="1"/>
  </si>
  <si>
    <t>一定距離の進行</t>
    <rPh sb="0" eb="4">
      <t>イッテイキョリ</t>
    </rPh>
    <rPh sb="5" eb="7">
      <t>シンコウ</t>
    </rPh>
    <phoneticPr fontId="1"/>
  </si>
  <si>
    <t>出現敵</t>
    <rPh sb="0" eb="2">
      <t>シュツゲン</t>
    </rPh>
    <rPh sb="2" eb="3">
      <t>テキ</t>
    </rPh>
    <phoneticPr fontId="1"/>
  </si>
  <si>
    <t>生命力</t>
    <rPh sb="0" eb="3">
      <t>セイメイリョク</t>
    </rPh>
    <phoneticPr fontId="1"/>
  </si>
  <si>
    <t>攻撃力</t>
    <rPh sb="0" eb="3">
      <t>コウゲキリョク</t>
    </rPh>
    <phoneticPr fontId="1"/>
  </si>
  <si>
    <t>重量</t>
    <rPh sb="0" eb="2">
      <t>ジュウリョウ</t>
    </rPh>
    <phoneticPr fontId="1"/>
  </si>
  <si>
    <t>移動距離(m)</t>
    <rPh sb="0" eb="2">
      <t>イドウ</t>
    </rPh>
    <rPh sb="2" eb="4">
      <t>キョリ</t>
    </rPh>
    <phoneticPr fontId="1"/>
  </si>
  <si>
    <t>移動間隔(秒)</t>
    <rPh sb="0" eb="2">
      <t>イドウ</t>
    </rPh>
    <rPh sb="2" eb="4">
      <t>カンカク</t>
    </rPh>
    <rPh sb="5" eb="6">
      <t>ビョウ</t>
    </rPh>
    <phoneticPr fontId="1"/>
  </si>
  <si>
    <t>移動速度</t>
    <rPh sb="0" eb="4">
      <t>イドウソクド</t>
    </rPh>
    <phoneticPr fontId="1"/>
  </si>
  <si>
    <t>攻撃射程(m)</t>
    <rPh sb="0" eb="4">
      <t>コウゲキシャテイ</t>
    </rPh>
    <phoneticPr fontId="1"/>
  </si>
  <si>
    <t>種類</t>
    <rPh sb="0" eb="2">
      <t>シュルイ</t>
    </rPh>
    <phoneticPr fontId="1"/>
  </si>
  <si>
    <t>攻撃頻度</t>
    <rPh sb="0" eb="4">
      <t>コウゲキヒンド</t>
    </rPh>
    <phoneticPr fontId="1"/>
  </si>
  <si>
    <t>デバフ抵抗</t>
    <rPh sb="3" eb="5">
      <t>テイコウ</t>
    </rPh>
    <phoneticPr fontId="1"/>
  </si>
  <si>
    <t>魔女</t>
    <rPh sb="0" eb="2">
      <t>マジョ</t>
    </rPh>
    <phoneticPr fontId="1"/>
  </si>
  <si>
    <t>大きさ</t>
    <rPh sb="0" eb="1">
      <t>オオ</t>
    </rPh>
    <phoneticPr fontId="1"/>
  </si>
  <si>
    <t>DPS弾丸</t>
    <rPh sb="3" eb="5">
      <t>ダンガン</t>
    </rPh>
    <phoneticPr fontId="1"/>
  </si>
  <si>
    <t>貯め弾幕</t>
    <rPh sb="0" eb="1">
      <t>タ</t>
    </rPh>
    <rPh sb="2" eb="4">
      <t>ダンマク</t>
    </rPh>
    <phoneticPr fontId="1"/>
  </si>
  <si>
    <t>敵の数量とウェーブ</t>
    <rPh sb="0" eb="1">
      <t>テキ</t>
    </rPh>
    <rPh sb="2" eb="4">
      <t>スウリョウ</t>
    </rPh>
    <phoneticPr fontId="1"/>
  </si>
  <si>
    <t>ウェーブ内で出現する敵の量は環境によって異なるが基本的に10とする。</t>
    <rPh sb="4" eb="5">
      <t>ナイ</t>
    </rPh>
    <rPh sb="6" eb="8">
      <t>シュツゲン</t>
    </rPh>
    <rPh sb="10" eb="11">
      <t>テキ</t>
    </rPh>
    <rPh sb="12" eb="13">
      <t>リョウ</t>
    </rPh>
    <rPh sb="14" eb="16">
      <t>カンキョウ</t>
    </rPh>
    <rPh sb="20" eb="21">
      <t>コト</t>
    </rPh>
    <rPh sb="24" eb="27">
      <t>キホンテキ</t>
    </rPh>
    <phoneticPr fontId="1"/>
  </si>
  <si>
    <t>これを繰り返し出現した敵の量が出現する敵の量(現在は10)を上回るとこのウェーブでの敵出現は終了。全滅させると次のウェーブが開始となる。</t>
    <rPh sb="3" eb="4">
      <t>ク</t>
    </rPh>
    <rPh sb="5" eb="6">
      <t>カエ</t>
    </rPh>
    <rPh sb="7" eb="9">
      <t>シュツゲン</t>
    </rPh>
    <rPh sb="11" eb="12">
      <t>テキ</t>
    </rPh>
    <rPh sb="13" eb="14">
      <t>リョウ</t>
    </rPh>
    <rPh sb="15" eb="17">
      <t>シュツゲン</t>
    </rPh>
    <rPh sb="19" eb="20">
      <t>テキ</t>
    </rPh>
    <rPh sb="21" eb="22">
      <t>リョウ</t>
    </rPh>
    <rPh sb="23" eb="25">
      <t>ゲンザイ</t>
    </rPh>
    <rPh sb="30" eb="32">
      <t>ウワマワ</t>
    </rPh>
    <rPh sb="42" eb="45">
      <t>テキシュツゲン</t>
    </rPh>
    <rPh sb="46" eb="48">
      <t>シュウリョウ</t>
    </rPh>
    <phoneticPr fontId="1"/>
  </si>
  <si>
    <t>魔女の設定されていない戦闘であればここで終了。勝利演出へ飛ぶ</t>
    <rPh sb="0" eb="2">
      <t>マジョ</t>
    </rPh>
    <rPh sb="3" eb="5">
      <t>セッテイ</t>
    </rPh>
    <rPh sb="11" eb="13">
      <t>セントウ</t>
    </rPh>
    <rPh sb="20" eb="22">
      <t>シュウリョウ</t>
    </rPh>
    <rPh sb="23" eb="25">
      <t>ショウリ</t>
    </rPh>
    <rPh sb="25" eb="27">
      <t>エンシュツ</t>
    </rPh>
    <rPh sb="28" eb="29">
      <t>ト</t>
    </rPh>
    <phoneticPr fontId="1"/>
  </si>
  <si>
    <t>特殊なヘクスに移動したなどで魔女が設定されている場合、魔女戦となる。</t>
    <rPh sb="0" eb="2">
      <t>トクシュ</t>
    </rPh>
    <rPh sb="7" eb="9">
      <t>イドウ</t>
    </rPh>
    <rPh sb="14" eb="16">
      <t>マジョ</t>
    </rPh>
    <rPh sb="17" eb="19">
      <t>セッテイ</t>
    </rPh>
    <rPh sb="24" eb="26">
      <t>バアイ</t>
    </rPh>
    <rPh sb="27" eb="29">
      <t>マジョ</t>
    </rPh>
    <rPh sb="29" eb="30">
      <t>セン</t>
    </rPh>
    <phoneticPr fontId="1"/>
  </si>
  <si>
    <t>warning と警告音が鳴り、魔女が出現する。</t>
    <rPh sb="9" eb="12">
      <t>ケイコクオン</t>
    </rPh>
    <rPh sb="13" eb="14">
      <t>ナ</t>
    </rPh>
    <rPh sb="16" eb="18">
      <t>マジョ</t>
    </rPh>
    <rPh sb="19" eb="21">
      <t>シュツゲン</t>
    </rPh>
    <phoneticPr fontId="1"/>
  </si>
  <si>
    <t>魔女LV1</t>
    <rPh sb="0" eb="2">
      <t>マジョ</t>
    </rPh>
    <phoneticPr fontId="1"/>
  </si>
  <si>
    <t>魔女LV3</t>
    <rPh sb="0" eb="2">
      <t>マジョ</t>
    </rPh>
    <phoneticPr fontId="1"/>
  </si>
  <si>
    <t>魔女LV4</t>
    <rPh sb="0" eb="2">
      <t>マジョ</t>
    </rPh>
    <phoneticPr fontId="1"/>
  </si>
  <si>
    <t>魔女LV5</t>
    <rPh sb="0" eb="2">
      <t>マジョ</t>
    </rPh>
    <phoneticPr fontId="1"/>
  </si>
  <si>
    <t>魔女LV6</t>
    <rPh sb="0" eb="2">
      <t>マジョ</t>
    </rPh>
    <phoneticPr fontId="1"/>
  </si>
  <si>
    <t>魔女LV7</t>
    <rPh sb="0" eb="2">
      <t>マジョ</t>
    </rPh>
    <phoneticPr fontId="1"/>
  </si>
  <si>
    <t>魔女LV8</t>
    <rPh sb="0" eb="2">
      <t>マジョ</t>
    </rPh>
    <phoneticPr fontId="1"/>
  </si>
  <si>
    <t>魔女LV2</t>
    <rPh sb="0" eb="2">
      <t>マジョ</t>
    </rPh>
    <phoneticPr fontId="1"/>
  </si>
  <si>
    <t>大量弾</t>
    <rPh sb="0" eb="2">
      <t>タイリョウ</t>
    </rPh>
    <rPh sb="2" eb="3">
      <t>ダン</t>
    </rPh>
    <phoneticPr fontId="1"/>
  </si>
  <si>
    <t>弾　</t>
    <rPh sb="0" eb="1">
      <t>タマ</t>
    </rPh>
    <phoneticPr fontId="1"/>
  </si>
  <si>
    <t>リロード時間</t>
    <rPh sb="4" eb="6">
      <t>ジカン</t>
    </rPh>
    <phoneticPr fontId="1"/>
  </si>
  <si>
    <t>4.5/メンバー数</t>
    <rPh sb="8" eb="9">
      <t>スウ</t>
    </rPh>
    <phoneticPr fontId="1"/>
  </si>
  <si>
    <t>発生率</t>
    <rPh sb="0" eb="3">
      <t>ハッセイリツ</t>
    </rPh>
    <phoneticPr fontId="1"/>
  </si>
  <si>
    <t>0.5～1.5秒</t>
    <rPh sb="7" eb="8">
      <t>ビョウ</t>
    </rPh>
    <phoneticPr fontId="1"/>
  </si>
  <si>
    <t>近接攻撃</t>
    <rPh sb="0" eb="4">
      <t>キンセツコウゲキ</t>
    </rPh>
    <phoneticPr fontId="1"/>
  </si>
  <si>
    <t>0.9秒</t>
    <rPh sb="3" eb="4">
      <t>ビョウ</t>
    </rPh>
    <phoneticPr fontId="1"/>
  </si>
  <si>
    <t>赤属性の場合0.3～0.7秒ごとに放つ。</t>
    <rPh sb="0" eb="1">
      <t>アカ</t>
    </rPh>
    <rPh sb="1" eb="3">
      <t>ゾクセイ</t>
    </rPh>
    <rPh sb="4" eb="6">
      <t>バアイ</t>
    </rPh>
    <rPh sb="13" eb="14">
      <t>ビョウ</t>
    </rPh>
    <rPh sb="17" eb="18">
      <t>ハナ</t>
    </rPh>
    <phoneticPr fontId="1"/>
  </si>
  <si>
    <t>レーザー</t>
    <phoneticPr fontId="1"/>
  </si>
  <si>
    <t>並列弾</t>
    <rPh sb="0" eb="2">
      <t>ヘイレツ</t>
    </rPh>
    <rPh sb="2" eb="3">
      <t>ダン</t>
    </rPh>
    <phoneticPr fontId="1"/>
  </si>
  <si>
    <t>個々にリロード時間と攻撃判定を行い、同時に多重攻撃することもある。</t>
    <rPh sb="0" eb="2">
      <t>ココ</t>
    </rPh>
    <rPh sb="7" eb="9">
      <t>ジカン</t>
    </rPh>
    <rPh sb="10" eb="12">
      <t>コウゲキ</t>
    </rPh>
    <rPh sb="12" eb="14">
      <t>ハンテイ</t>
    </rPh>
    <rPh sb="15" eb="16">
      <t>オコナ</t>
    </rPh>
    <rPh sb="18" eb="20">
      <t>ドウジ</t>
    </rPh>
    <rPh sb="21" eb="25">
      <t>タジュウコウゲキ</t>
    </rPh>
    <phoneticPr fontId="1"/>
  </si>
  <si>
    <t>プレイヤーキャラクター</t>
    <phoneticPr fontId="1"/>
  </si>
  <si>
    <t>最大5人配置可能</t>
    <rPh sb="0" eb="2">
      <t>サイダイ</t>
    </rPh>
    <rPh sb="3" eb="4">
      <t>ニン</t>
    </rPh>
    <rPh sb="4" eb="6">
      <t>ハイチ</t>
    </rPh>
    <rPh sb="6" eb="8">
      <t>カノウ</t>
    </rPh>
    <phoneticPr fontId="1"/>
  </si>
  <si>
    <t>進む方向が決まったらその方向に向かって(移動速度)で(移動距離)分進む。</t>
    <rPh sb="0" eb="1">
      <t>スス</t>
    </rPh>
    <rPh sb="2" eb="4">
      <t>ホウコウ</t>
    </rPh>
    <rPh sb="5" eb="6">
      <t>キ</t>
    </rPh>
    <rPh sb="12" eb="14">
      <t>ホウコウ</t>
    </rPh>
    <rPh sb="15" eb="16">
      <t>ム</t>
    </rPh>
    <rPh sb="20" eb="24">
      <t>イドウソクド</t>
    </rPh>
    <rPh sb="27" eb="31">
      <t>イドウキョリ</t>
    </rPh>
    <rPh sb="32" eb="33">
      <t>ブン</t>
    </rPh>
    <rPh sb="33" eb="34">
      <t>スス</t>
    </rPh>
    <phoneticPr fontId="1"/>
  </si>
  <si>
    <t>移動後(移動間隔)秒の間止まる。</t>
    <rPh sb="0" eb="3">
      <t>イドウゴ</t>
    </rPh>
    <rPh sb="4" eb="8">
      <t>イドウカンカク</t>
    </rPh>
    <rPh sb="9" eb="10">
      <t>ビョウ</t>
    </rPh>
    <rPh sb="11" eb="12">
      <t>アイダ</t>
    </rPh>
    <rPh sb="12" eb="13">
      <t>ト</t>
    </rPh>
    <phoneticPr fontId="1"/>
  </si>
  <si>
    <t>移動先にプレイヤーキャラクタがいた場合、そのキャラクタへ攻撃力分のダメージ判定を行い、移動方向は180度反転する。</t>
    <rPh sb="0" eb="3">
      <t>イドウサキ</t>
    </rPh>
    <rPh sb="17" eb="19">
      <t>バアイ</t>
    </rPh>
    <rPh sb="28" eb="30">
      <t>コウゲキ</t>
    </rPh>
    <rPh sb="30" eb="31">
      <t>リョク</t>
    </rPh>
    <rPh sb="31" eb="32">
      <t>ブン</t>
    </rPh>
    <rPh sb="37" eb="39">
      <t>ハンテイ</t>
    </rPh>
    <rPh sb="40" eb="41">
      <t>オコナ</t>
    </rPh>
    <rPh sb="43" eb="47">
      <t>イドウホウコウ</t>
    </rPh>
    <rPh sb="51" eb="52">
      <t>ド</t>
    </rPh>
    <rPh sb="52" eb="54">
      <t>ハンテン</t>
    </rPh>
    <phoneticPr fontId="1"/>
  </si>
  <si>
    <t>攻撃射程内にキャラクターがいる場合、弾丸を飛ばして攻撃を行う</t>
    <rPh sb="0" eb="2">
      <t>コウゲキ</t>
    </rPh>
    <rPh sb="2" eb="4">
      <t>シャテイ</t>
    </rPh>
    <rPh sb="4" eb="5">
      <t>ナイ</t>
    </rPh>
    <rPh sb="15" eb="17">
      <t>バアイ</t>
    </rPh>
    <rPh sb="18" eb="20">
      <t>ダンガン</t>
    </rPh>
    <rPh sb="21" eb="22">
      <t>ト</t>
    </rPh>
    <rPh sb="25" eb="27">
      <t>コウゲキ</t>
    </rPh>
    <rPh sb="28" eb="29">
      <t>オコナ</t>
    </rPh>
    <phoneticPr fontId="1"/>
  </si>
  <si>
    <t>攻撃力は全員1だが、実際にはレベル差や属性防御などでいろんなことになる。しかし基本１ダメージ。</t>
    <rPh sb="0" eb="3">
      <t>コウゲキリョク</t>
    </rPh>
    <rPh sb="4" eb="6">
      <t>ゼンイン</t>
    </rPh>
    <rPh sb="10" eb="12">
      <t>ジッサイ</t>
    </rPh>
    <rPh sb="17" eb="18">
      <t>サ</t>
    </rPh>
    <rPh sb="19" eb="21">
      <t>ゾクセイ</t>
    </rPh>
    <rPh sb="21" eb="23">
      <t>ボウギョ</t>
    </rPh>
    <rPh sb="39" eb="41">
      <t>キホン</t>
    </rPh>
    <phoneticPr fontId="1"/>
  </si>
  <si>
    <t>レベル</t>
    <phoneticPr fontId="1"/>
  </si>
  <si>
    <t>雑魚パターン</t>
    <rPh sb="0" eb="2">
      <t>ザコ</t>
    </rPh>
    <phoneticPr fontId="1"/>
  </si>
  <si>
    <t>魔女レベルごとのデータ</t>
    <rPh sb="0" eb="2">
      <t>マジョ</t>
    </rPh>
    <phoneticPr fontId="1"/>
  </si>
  <si>
    <t>攻撃を受け生命力が0以下になると移動方向と速度を保ったまま1秒かけて透明に消えてゆく。</t>
    <rPh sb="0" eb="2">
      <t>コウゲキ</t>
    </rPh>
    <rPh sb="3" eb="4">
      <t>ウ</t>
    </rPh>
    <rPh sb="5" eb="8">
      <t>セイメイリョク</t>
    </rPh>
    <rPh sb="10" eb="12">
      <t>イカ</t>
    </rPh>
    <rPh sb="16" eb="18">
      <t>イドウ</t>
    </rPh>
    <rPh sb="18" eb="20">
      <t>ホウコウ</t>
    </rPh>
    <rPh sb="21" eb="23">
      <t>ソクド</t>
    </rPh>
    <rPh sb="24" eb="25">
      <t>タモ</t>
    </rPh>
    <rPh sb="30" eb="31">
      <t>ビョウ</t>
    </rPh>
    <rPh sb="34" eb="36">
      <t>トウメイ</t>
    </rPh>
    <rPh sb="37" eb="38">
      <t>キ</t>
    </rPh>
    <phoneticPr fontId="1"/>
  </si>
  <si>
    <t>生命力0の雑魚に対しては新たに攻撃しようとしない。攻撃命中判定は行い、ノックバックでベクトルを与えられると飛ぶ。</t>
    <rPh sb="0" eb="3">
      <t>セイメイリョク</t>
    </rPh>
    <rPh sb="5" eb="7">
      <t>ザコ</t>
    </rPh>
    <rPh sb="8" eb="9">
      <t>タイ</t>
    </rPh>
    <rPh sb="12" eb="13">
      <t>アラ</t>
    </rPh>
    <rPh sb="15" eb="17">
      <t>コウゲキ</t>
    </rPh>
    <rPh sb="25" eb="27">
      <t>コウゲキ</t>
    </rPh>
    <rPh sb="27" eb="29">
      <t>メイチュウ</t>
    </rPh>
    <rPh sb="29" eb="31">
      <t>ハンテイ</t>
    </rPh>
    <rPh sb="32" eb="33">
      <t>オコナ</t>
    </rPh>
    <rPh sb="47" eb="48">
      <t>アタ</t>
    </rPh>
    <rPh sb="53" eb="54">
      <t>ト</t>
    </rPh>
    <phoneticPr fontId="1"/>
  </si>
  <si>
    <t>移動先に敵キャラがいる場合、相手より体重が勝っていれば押しのける。負けていれば作用できない。</t>
    <rPh sb="0" eb="3">
      <t>イドウサキ</t>
    </rPh>
    <rPh sb="4" eb="5">
      <t>テキ</t>
    </rPh>
    <rPh sb="11" eb="13">
      <t>バアイ</t>
    </rPh>
    <rPh sb="14" eb="16">
      <t>アイテ</t>
    </rPh>
    <rPh sb="18" eb="20">
      <t>タイジュウ</t>
    </rPh>
    <rPh sb="21" eb="22">
      <t>マサ</t>
    </rPh>
    <rPh sb="27" eb="28">
      <t>オ</t>
    </rPh>
    <rPh sb="33" eb="34">
      <t>マ</t>
    </rPh>
    <rPh sb="39" eb="41">
      <t>サヨウ</t>
    </rPh>
    <phoneticPr fontId="1"/>
  </si>
  <si>
    <t>敵同士もお互い大きさ/2の距離以内には近づけない</t>
    <rPh sb="0" eb="3">
      <t>テキドウシ</t>
    </rPh>
    <rPh sb="5" eb="6">
      <t>タガ</t>
    </rPh>
    <rPh sb="7" eb="8">
      <t>オオ</t>
    </rPh>
    <rPh sb="13" eb="15">
      <t>キョリ</t>
    </rPh>
    <rPh sb="15" eb="17">
      <t>イナイ</t>
    </rPh>
    <rPh sb="19" eb="20">
      <t>チカ</t>
    </rPh>
    <phoneticPr fontId="1"/>
  </si>
  <si>
    <t>魔女の生命力がゼロになると派手な爆発が起こり、勝利演出に進む。</t>
    <rPh sb="0" eb="2">
      <t>マジョ</t>
    </rPh>
    <rPh sb="3" eb="6">
      <t>セイメイリョク</t>
    </rPh>
    <rPh sb="13" eb="15">
      <t>ハデ</t>
    </rPh>
    <rPh sb="16" eb="18">
      <t>バクハツ</t>
    </rPh>
    <rPh sb="19" eb="20">
      <t>オ</t>
    </rPh>
    <rPh sb="23" eb="25">
      <t>ショウリ</t>
    </rPh>
    <rPh sb="25" eb="27">
      <t>エンシュツ</t>
    </rPh>
    <rPh sb="28" eb="29">
      <t>スス</t>
    </rPh>
    <phoneticPr fontId="1"/>
  </si>
  <si>
    <t>後列に対して前列は5m前にいる。</t>
    <rPh sb="0" eb="2">
      <t>コウレツ</t>
    </rPh>
    <rPh sb="3" eb="4">
      <t>タイ</t>
    </rPh>
    <rPh sb="6" eb="8">
      <t>ゼンレツ</t>
    </rPh>
    <rPh sb="11" eb="12">
      <t>マエ</t>
    </rPh>
    <phoneticPr fontId="1"/>
  </si>
  <si>
    <t>攻撃者のレベルが高いとき</t>
  </si>
  <si>
    <t>レベル差*5%分命中率が上昇</t>
  </si>
  <si>
    <t>攻撃力がレベル差*5%+レベル差分上昇</t>
  </si>
  <si>
    <t>攻撃者のレベルが低いとき</t>
  </si>
  <si>
    <t>レベル差*5%分命中率が低下</t>
  </si>
  <si>
    <t>攻撃力がレベル差*5%+レベル差分減少</t>
  </si>
  <si>
    <t>AがBより5レベル低いとき</t>
  </si>
  <si>
    <t>Aの攻撃力８０　回避率20％</t>
  </si>
  <si>
    <t>Bの攻撃力８０　回避率20％</t>
  </si>
  <si>
    <t>AからBへ攻撃　</t>
  </si>
  <si>
    <t>命中率低下が25％→回避率が45％となり命中率は55%</t>
  </si>
  <si>
    <t>与えるダメージは80から25％と５下がり</t>
  </si>
  <si>
    <t>55となる。</t>
  </si>
  <si>
    <t>命中率は1%を下回ることはない、100％を上回っても100％</t>
  </si>
  <si>
    <t>ダメージは1を下回ることはない。上限はない。</t>
  </si>
  <si>
    <t>レベルが上がると無双になるけど</t>
  </si>
  <si>
    <t>囲まれると少しづつでも削られる</t>
  </si>
  <si>
    <t>レベル差があると生き残ることが難しくなっていく</t>
  </si>
  <si>
    <t>雑魚敵の攻撃力は基本１だけど</t>
  </si>
  <si>
    <t>レベル差のある場合２，３とわずかづつ大きくなる</t>
  </si>
  <si>
    <t>なので雑魚敵の素の攻撃力はどんなレベルでも１のままで良い。</t>
  </si>
  <si>
    <t>レベル差の概念はプレイヤー対雑魚でも、魔女でも</t>
  </si>
  <si>
    <t>プレイや対プレイヤーでも反映される(重要)</t>
  </si>
  <si>
    <t>属性</t>
    <rPh sb="0" eb="2">
      <t>ゾクセイ</t>
    </rPh>
    <phoneticPr fontId="1"/>
  </si>
  <si>
    <t>Ardor　情熱　#8B0000　紅華</t>
  </si>
  <si>
    <t>Discipline　統制　#4169E1　蒼樹</t>
  </si>
  <si>
    <t xml:space="preserve">Harmony　調和　#00A86B　紫苑 李乃果 </t>
  </si>
  <si>
    <t>Sacrifice　犠牲　#FFBF00　黄蘭</t>
  </si>
  <si>
    <t>Chaos　混沌　#FF00FF　天王寺さくら</t>
  </si>
  <si>
    <t>この5者は円形に並ぶ。</t>
  </si>
  <si>
    <t>　　情熱</t>
  </si>
  <si>
    <t>　 ↑　↓</t>
  </si>
  <si>
    <t>統制　　混沌</t>
  </si>
  <si>
    <t>　↑　　↓</t>
  </si>
  <si>
    <t xml:space="preserve"> 犠牲←調和　</t>
  </si>
  <si>
    <t>赤</t>
    <rPh sb="0" eb="1">
      <t>アカ</t>
    </rPh>
    <phoneticPr fontId="1"/>
  </si>
  <si>
    <t>青</t>
    <rPh sb="0" eb="1">
      <t>アオ</t>
    </rPh>
    <phoneticPr fontId="1"/>
  </si>
  <si>
    <t>紫</t>
    <rPh sb="0" eb="1">
      <t>ムラサキ</t>
    </rPh>
    <phoneticPr fontId="1"/>
  </si>
  <si>
    <t>緑</t>
    <rPh sb="0" eb="1">
      <t>ミドリ</t>
    </rPh>
    <phoneticPr fontId="1"/>
  </si>
  <si>
    <t>敵も味方も魔女も各属性防御力、属性デバフ抵抗力を持っている</t>
    <rPh sb="0" eb="1">
      <t>テキ</t>
    </rPh>
    <rPh sb="2" eb="4">
      <t>ミカタ</t>
    </rPh>
    <rPh sb="5" eb="7">
      <t>マジョ</t>
    </rPh>
    <rPh sb="8" eb="11">
      <t>カクゾクセイ</t>
    </rPh>
    <rPh sb="11" eb="14">
      <t>ボウギョリョク</t>
    </rPh>
    <rPh sb="15" eb="17">
      <t>ゾクセイ</t>
    </rPh>
    <rPh sb="20" eb="23">
      <t>テイコウリョク</t>
    </rPh>
    <rPh sb="24" eb="25">
      <t>モ</t>
    </rPh>
    <phoneticPr fontId="1"/>
  </si>
  <si>
    <t>対赤</t>
    <rPh sb="0" eb="1">
      <t>タイ</t>
    </rPh>
    <rPh sb="1" eb="2">
      <t>アカ</t>
    </rPh>
    <phoneticPr fontId="1"/>
  </si>
  <si>
    <t>対紫</t>
    <rPh sb="1" eb="2">
      <t>ムラサキ</t>
    </rPh>
    <phoneticPr fontId="1"/>
  </si>
  <si>
    <t>対緑</t>
    <rPh sb="1" eb="2">
      <t>ミドリ</t>
    </rPh>
    <phoneticPr fontId="1"/>
  </si>
  <si>
    <t>対黄</t>
    <rPh sb="1" eb="2">
      <t>キ</t>
    </rPh>
    <phoneticPr fontId="1"/>
  </si>
  <si>
    <t>対青</t>
    <rPh sb="1" eb="2">
      <t>アオ</t>
    </rPh>
    <phoneticPr fontId="1"/>
  </si>
  <si>
    <t>黄</t>
    <rPh sb="0" eb="1">
      <t>キ</t>
    </rPh>
    <phoneticPr fontId="1"/>
  </si>
  <si>
    <t>100はダメージが100%素通りということ</t>
    <rPh sb="13" eb="15">
      <t>スドオ</t>
    </rPh>
    <phoneticPr fontId="1"/>
  </si>
  <si>
    <t>75はダメージを75%に軽減する</t>
    <rPh sb="12" eb="14">
      <t>ケイゲン</t>
    </rPh>
    <phoneticPr fontId="1"/>
  </si>
  <si>
    <t>125は2割5分増しのダメージを受ける</t>
    <rPh sb="5" eb="6">
      <t>ワリ</t>
    </rPh>
    <rPh sb="7" eb="8">
      <t>ブ</t>
    </rPh>
    <rPh sb="8" eb="9">
      <t>マ</t>
    </rPh>
    <rPh sb="16" eb="17">
      <t>ウ</t>
    </rPh>
    <phoneticPr fontId="1"/>
  </si>
  <si>
    <t>属性防御力</t>
    <rPh sb="0" eb="2">
      <t>ゾクセイ</t>
    </rPh>
    <rPh sb="2" eb="5">
      <t>ボウギョリョク</t>
    </rPh>
    <phoneticPr fontId="1"/>
  </si>
  <si>
    <t>属性デバフ抵抗力</t>
    <rPh sb="0" eb="2">
      <t>ゾクセイ</t>
    </rPh>
    <rPh sb="5" eb="7">
      <t>テイコウ</t>
    </rPh>
    <rPh sb="7" eb="8">
      <t>リョク</t>
    </rPh>
    <phoneticPr fontId="1"/>
  </si>
  <si>
    <t>30はデバフ攻撃を食らったとき30%で無効化できるということ</t>
    <rPh sb="6" eb="8">
      <t>コウゲキ</t>
    </rPh>
    <rPh sb="9" eb="10">
      <t>ク</t>
    </rPh>
    <rPh sb="19" eb="22">
      <t>ムコウカ</t>
    </rPh>
    <phoneticPr fontId="1"/>
  </si>
  <si>
    <t>雑魚や魔女の持っているデバフ抵抗はこれに加算される</t>
    <rPh sb="0" eb="2">
      <t>ザコ</t>
    </rPh>
    <rPh sb="3" eb="5">
      <t>マジョ</t>
    </rPh>
    <rPh sb="6" eb="7">
      <t>モ</t>
    </rPh>
    <rPh sb="14" eb="16">
      <t>テイコウ</t>
    </rPh>
    <rPh sb="20" eb="22">
      <t>カサン</t>
    </rPh>
    <phoneticPr fontId="1"/>
  </si>
  <si>
    <t>爆発１</t>
    <rPh sb="0" eb="2">
      <t>バクハツ</t>
    </rPh>
    <phoneticPr fontId="1"/>
  </si>
  <si>
    <t>魔女座標を中心に赤い円が描かれ、1秒で直径が画面高さの半分まで大きくなり、透明になって消える</t>
    <rPh sb="0" eb="2">
      <t>マジョ</t>
    </rPh>
    <rPh sb="2" eb="4">
      <t>ザヒョウ</t>
    </rPh>
    <rPh sb="5" eb="7">
      <t>チュウシン</t>
    </rPh>
    <rPh sb="8" eb="9">
      <t>アカ</t>
    </rPh>
    <rPh sb="10" eb="11">
      <t>エン</t>
    </rPh>
    <rPh sb="12" eb="13">
      <t>エガ</t>
    </rPh>
    <rPh sb="17" eb="18">
      <t>ビョウ</t>
    </rPh>
    <rPh sb="19" eb="21">
      <t>チョッケイ</t>
    </rPh>
    <rPh sb="22" eb="24">
      <t>ガメン</t>
    </rPh>
    <rPh sb="24" eb="25">
      <t>タカ</t>
    </rPh>
    <rPh sb="27" eb="29">
      <t>ハンブン</t>
    </rPh>
    <rPh sb="31" eb="32">
      <t>オオ</t>
    </rPh>
    <rPh sb="37" eb="39">
      <t>トウメイ</t>
    </rPh>
    <rPh sb="43" eb="44">
      <t>キ</t>
    </rPh>
    <phoneticPr fontId="1"/>
  </si>
  <si>
    <t>１の終わった2秒後、魔女座標を中心に赤い円が描かれ、1秒で直径が画面高さのまで大きくなり、透明になって消える</t>
    <rPh sb="2" eb="3">
      <t>オ</t>
    </rPh>
    <rPh sb="7" eb="9">
      <t>ビョウゴ</t>
    </rPh>
    <rPh sb="10" eb="12">
      <t>マジョ</t>
    </rPh>
    <rPh sb="12" eb="14">
      <t>ザヒョウ</t>
    </rPh>
    <rPh sb="15" eb="17">
      <t>チュウシン</t>
    </rPh>
    <rPh sb="18" eb="19">
      <t>アカ</t>
    </rPh>
    <rPh sb="20" eb="21">
      <t>エン</t>
    </rPh>
    <rPh sb="22" eb="23">
      <t>エガ</t>
    </rPh>
    <rPh sb="27" eb="28">
      <t>ビョウ</t>
    </rPh>
    <rPh sb="29" eb="31">
      <t>チョッケイ</t>
    </rPh>
    <rPh sb="32" eb="34">
      <t>ガメン</t>
    </rPh>
    <rPh sb="34" eb="35">
      <t>タカ</t>
    </rPh>
    <rPh sb="39" eb="40">
      <t>オオ</t>
    </rPh>
    <rPh sb="45" eb="47">
      <t>トウメイ</t>
    </rPh>
    <rPh sb="51" eb="52">
      <t>キ</t>
    </rPh>
    <phoneticPr fontId="1"/>
  </si>
  <si>
    <t>1と並行して魔女座標から大きさの2/3の範囲のランダムな位置で1秒かけて赤い円が魔女の大きさの1/5の大きさまで大きくなっては透明になって消えるのを1秒間に8回繰り返す、3秒続く</t>
    <rPh sb="2" eb="4">
      <t>ヘイコウ</t>
    </rPh>
    <rPh sb="6" eb="8">
      <t>マジョ</t>
    </rPh>
    <rPh sb="8" eb="10">
      <t>ザヒョウ</t>
    </rPh>
    <rPh sb="12" eb="13">
      <t>オオ</t>
    </rPh>
    <rPh sb="20" eb="22">
      <t>ハンイ</t>
    </rPh>
    <rPh sb="28" eb="30">
      <t>イチ</t>
    </rPh>
    <rPh sb="32" eb="33">
      <t>ビョウ</t>
    </rPh>
    <rPh sb="36" eb="37">
      <t>アカ</t>
    </rPh>
    <rPh sb="38" eb="39">
      <t>エン</t>
    </rPh>
    <rPh sb="40" eb="42">
      <t>マジョ</t>
    </rPh>
    <rPh sb="43" eb="44">
      <t>オオ</t>
    </rPh>
    <rPh sb="51" eb="52">
      <t>オオ</t>
    </rPh>
    <rPh sb="56" eb="57">
      <t>オオ</t>
    </rPh>
    <rPh sb="63" eb="65">
      <t>トウメイ</t>
    </rPh>
    <rPh sb="69" eb="70">
      <t>キ</t>
    </rPh>
    <rPh sb="75" eb="77">
      <t>ビョウカン</t>
    </rPh>
    <rPh sb="79" eb="80">
      <t>カイ</t>
    </rPh>
    <rPh sb="80" eb="81">
      <t>ク</t>
    </rPh>
    <rPh sb="82" eb="83">
      <t>カエ</t>
    </rPh>
    <rPh sb="86" eb="88">
      <t>ビョウツヅ</t>
    </rPh>
    <phoneticPr fontId="1"/>
  </si>
  <si>
    <t>r</t>
    <phoneticPr fontId="1"/>
  </si>
  <si>
    <t>g</t>
    <phoneticPr fontId="1"/>
  </si>
  <si>
    <t>b</t>
    <phoneticPr fontId="1"/>
  </si>
  <si>
    <t>10ｍ以内に女の子がいるとそちらに向かって移動する。複数いれば最も近いものを選ぶ、そうでなければ下方向±10°の方向に進む。</t>
    <rPh sb="3" eb="5">
      <t>イナイ</t>
    </rPh>
    <rPh sb="6" eb="7">
      <t>オンナ</t>
    </rPh>
    <rPh sb="8" eb="9">
      <t>コ</t>
    </rPh>
    <rPh sb="17" eb="18">
      <t>ム</t>
    </rPh>
    <rPh sb="21" eb="23">
      <t>イドウ</t>
    </rPh>
    <rPh sb="26" eb="28">
      <t>フクスウ</t>
    </rPh>
    <rPh sb="31" eb="32">
      <t>モット</t>
    </rPh>
    <rPh sb="33" eb="34">
      <t>チカ</t>
    </rPh>
    <rPh sb="38" eb="39">
      <t>エラ</t>
    </rPh>
    <rPh sb="48" eb="51">
      <t>シタホウコウ</t>
    </rPh>
    <rPh sb="56" eb="58">
      <t>ホウコウ</t>
    </rPh>
    <rPh sb="59" eb="60">
      <t>スス</t>
    </rPh>
    <phoneticPr fontId="1"/>
  </si>
  <si>
    <t>生命力0の敵に対しては新たに攻撃しようとしない。</t>
    <rPh sb="0" eb="3">
      <t>セイメイリョク</t>
    </rPh>
    <rPh sb="5" eb="6">
      <t>テキ</t>
    </rPh>
    <rPh sb="7" eb="8">
      <t>タイ</t>
    </rPh>
    <rPh sb="11" eb="12">
      <t>アラ</t>
    </rPh>
    <rPh sb="14" eb="16">
      <t>コウゲキ</t>
    </rPh>
    <phoneticPr fontId="1"/>
  </si>
  <si>
    <t>レベル差と攻撃ダメージおよび命中率の変化</t>
    <rPh sb="3" eb="4">
      <t>サ</t>
    </rPh>
    <rPh sb="5" eb="7">
      <t>コウゲキ</t>
    </rPh>
    <rPh sb="14" eb="17">
      <t>メイチュウリツ</t>
    </rPh>
    <rPh sb="18" eb="20">
      <t>ヘンカ</t>
    </rPh>
    <phoneticPr fontId="1"/>
  </si>
  <si>
    <t>攻撃者と攻撃対象の距離によって命中率に補正を受ける。</t>
    <rPh sb="0" eb="2">
      <t>コウゲキ</t>
    </rPh>
    <rPh sb="2" eb="3">
      <t>シャ</t>
    </rPh>
    <rPh sb="4" eb="6">
      <t>コウゲキ</t>
    </rPh>
    <rPh sb="6" eb="8">
      <t>タイショウ</t>
    </rPh>
    <rPh sb="9" eb="11">
      <t>キョリ</t>
    </rPh>
    <rPh sb="15" eb="18">
      <t>メイチュウリツ</t>
    </rPh>
    <rPh sb="19" eb="21">
      <t>ホセイ</t>
    </rPh>
    <rPh sb="22" eb="23">
      <t>ウ</t>
    </rPh>
    <phoneticPr fontId="1"/>
  </si>
  <si>
    <t>1m離れるごとに2%づつ低下する。20m離れていると普通に4割外れる。</t>
    <rPh sb="2" eb="3">
      <t>ハナ</t>
    </rPh>
    <rPh sb="12" eb="14">
      <t>テイカ</t>
    </rPh>
    <rPh sb="20" eb="21">
      <t>ハナ</t>
    </rPh>
    <rPh sb="26" eb="28">
      <t>フツウ</t>
    </rPh>
    <rPh sb="30" eb="31">
      <t>ワリ</t>
    </rPh>
    <rPh sb="31" eb="32">
      <t>ハズ</t>
    </rPh>
    <phoneticPr fontId="1"/>
  </si>
  <si>
    <t>ダメージ火花</t>
    <rPh sb="4" eb="6">
      <t>ヒバナ</t>
    </rPh>
    <phoneticPr fontId="1"/>
  </si>
  <si>
    <t>同じ火花ばかりだとつまらないので　通常、上下反転、左右反転、上下左右反転、90度回転、90度回転上下反転、90度回転左右反転、90度回転上下左右反転の8パターンに変化する。</t>
    <rPh sb="0" eb="1">
      <t>オナ</t>
    </rPh>
    <rPh sb="2" eb="4">
      <t>ヒバナ</t>
    </rPh>
    <rPh sb="17" eb="19">
      <t>ツウジョウ</t>
    </rPh>
    <rPh sb="20" eb="24">
      <t>ジョウゲハンテン</t>
    </rPh>
    <rPh sb="25" eb="29">
      <t>サユウハンテン</t>
    </rPh>
    <rPh sb="30" eb="36">
      <t>ジョウゲサユウハンテン</t>
    </rPh>
    <rPh sb="39" eb="40">
      <t>ド</t>
    </rPh>
    <rPh sb="40" eb="42">
      <t>カイテン</t>
    </rPh>
    <rPh sb="45" eb="46">
      <t>ド</t>
    </rPh>
    <rPh sb="46" eb="48">
      <t>カイテン</t>
    </rPh>
    <rPh sb="48" eb="50">
      <t>ジョウゲ</t>
    </rPh>
    <rPh sb="50" eb="52">
      <t>ハンテン</t>
    </rPh>
    <rPh sb="55" eb="56">
      <t>ド</t>
    </rPh>
    <rPh sb="56" eb="58">
      <t>カイテン</t>
    </rPh>
    <rPh sb="58" eb="62">
      <t>サユウハンテン</t>
    </rPh>
    <rPh sb="65" eb="66">
      <t>ド</t>
    </rPh>
    <rPh sb="66" eb="68">
      <t>カイテン</t>
    </rPh>
    <rPh sb="68" eb="72">
      <t>ジョウゲサユウ</t>
    </rPh>
    <rPh sb="72" eb="74">
      <t>ハンテン</t>
    </rPh>
    <rPh sb="81" eb="83">
      <t>ヘンカ</t>
    </rPh>
    <phoneticPr fontId="1"/>
  </si>
  <si>
    <t>不透明度80%、20cmで出現して0.1秒で75cmまで大きくなり、そこから0.5秒かけて100cmまで拡大しながら不透明度0%になっていく。</t>
    <phoneticPr fontId="1"/>
  </si>
  <si>
    <t>その打撃で生命力が0以下になったときは不透明度80%、10cmで出現して0.1秒で敵の大きさまで大きくなり、そこから0.5秒かけてその1.2倍まで拡大しながら不透明度0%になっていく。</t>
    <rPh sb="2" eb="4">
      <t>ダゲキ</t>
    </rPh>
    <rPh sb="5" eb="8">
      <t>セイメイリョク</t>
    </rPh>
    <rPh sb="10" eb="12">
      <t>イカ</t>
    </rPh>
    <rPh sb="19" eb="22">
      <t>フトウメイ</t>
    </rPh>
    <rPh sb="22" eb="23">
      <t>ド</t>
    </rPh>
    <rPh sb="32" eb="34">
      <t>シュツゲン</t>
    </rPh>
    <rPh sb="39" eb="40">
      <t>ビョウ</t>
    </rPh>
    <rPh sb="41" eb="42">
      <t>テキ</t>
    </rPh>
    <rPh sb="43" eb="44">
      <t>オオ</t>
    </rPh>
    <rPh sb="48" eb="49">
      <t>オオ</t>
    </rPh>
    <rPh sb="61" eb="62">
      <t>ビョウ</t>
    </rPh>
    <rPh sb="70" eb="71">
      <t>バイ</t>
    </rPh>
    <rPh sb="73" eb="75">
      <t>カクダイ</t>
    </rPh>
    <rPh sb="79" eb="82">
      <t>フトウメイ</t>
    </rPh>
    <rPh sb="82" eb="83">
      <t>ド</t>
    </rPh>
    <phoneticPr fontId="1"/>
  </si>
  <si>
    <t>敵の数量、ウェーブ数はヘクスのレベル表記とは別に保持していて、状況によって増減する。</t>
    <rPh sb="0" eb="1">
      <t>テキ</t>
    </rPh>
    <rPh sb="2" eb="4">
      <t>スウリョウ</t>
    </rPh>
    <rPh sb="9" eb="10">
      <t>スウ</t>
    </rPh>
    <rPh sb="18" eb="20">
      <t>ヒョウキ</t>
    </rPh>
    <rPh sb="22" eb="23">
      <t>ベツ</t>
    </rPh>
    <rPh sb="24" eb="26">
      <t>ホジ</t>
    </rPh>
    <rPh sb="31" eb="33">
      <t>ジョウキョウ</t>
    </rPh>
    <rPh sb="37" eb="39">
      <t>ゾウゲン</t>
    </rPh>
    <phoneticPr fontId="1"/>
  </si>
  <si>
    <t>数量が1～5増える</t>
    <rPh sb="0" eb="2">
      <t>スウリョウ</t>
    </rPh>
    <rPh sb="6" eb="7">
      <t>フ</t>
    </rPh>
    <phoneticPr fontId="1"/>
  </si>
  <si>
    <t>時間が進む(午前、午後など)</t>
    <rPh sb="0" eb="2">
      <t>ジカン</t>
    </rPh>
    <rPh sb="3" eb="4">
      <t>スス</t>
    </rPh>
    <rPh sb="6" eb="8">
      <t>ゴゼン</t>
    </rPh>
    <rPh sb="9" eb="11">
      <t>ゴゴ</t>
    </rPh>
    <phoneticPr fontId="1"/>
  </si>
  <si>
    <t>スタート時　敵の量：10　ウェーブ数：3　</t>
    <rPh sb="4" eb="5">
      <t>トキ</t>
    </rPh>
    <rPh sb="6" eb="7">
      <t>テキ</t>
    </rPh>
    <rPh sb="8" eb="9">
      <t>リョウ</t>
    </rPh>
    <rPh sb="17" eb="18">
      <t>カズ</t>
    </rPh>
    <phoneticPr fontId="1"/>
  </si>
  <si>
    <t>毎日夜になるたびに</t>
    <rPh sb="0" eb="2">
      <t>マイニチ</t>
    </rPh>
    <rPh sb="2" eb="3">
      <t>ヨル</t>
    </rPh>
    <phoneticPr fontId="1"/>
  </si>
  <si>
    <t>数量が1.4倍に増え、ウェーブ数が１増える、マップ上の敵のレベルが1上がる</t>
    <rPh sb="0" eb="2">
      <t>スウリョウ</t>
    </rPh>
    <rPh sb="6" eb="7">
      <t>バイ</t>
    </rPh>
    <rPh sb="8" eb="9">
      <t>フ</t>
    </rPh>
    <rPh sb="15" eb="16">
      <t>スウ</t>
    </rPh>
    <rPh sb="18" eb="19">
      <t>フ</t>
    </rPh>
    <rPh sb="25" eb="26">
      <t>ウエ</t>
    </rPh>
    <rPh sb="27" eb="28">
      <t>テキ</t>
    </rPh>
    <rPh sb="34" eb="35">
      <t>ア</t>
    </rPh>
    <phoneticPr fontId="1"/>
  </si>
  <si>
    <t>敵の群れは　レベル、数量、ウェーブ数、魔女レベルによって決まる。</t>
    <rPh sb="0" eb="1">
      <t>テキ</t>
    </rPh>
    <rPh sb="2" eb="3">
      <t>ム</t>
    </rPh>
    <rPh sb="10" eb="12">
      <t>スウリョウ</t>
    </rPh>
    <rPh sb="17" eb="18">
      <t>スウ</t>
    </rPh>
    <rPh sb="19" eb="21">
      <t>マジョ</t>
    </rPh>
    <rPh sb="28" eb="29">
      <t>キ</t>
    </rPh>
    <phoneticPr fontId="1"/>
  </si>
  <si>
    <t>前回より仲間が増えている</t>
    <rPh sb="0" eb="2">
      <t>ゼンカイ</t>
    </rPh>
    <rPh sb="4" eb="6">
      <t>ナカマ</t>
    </rPh>
    <rPh sb="7" eb="8">
      <t>フ</t>
    </rPh>
    <phoneticPr fontId="1"/>
  </si>
  <si>
    <t>増えるタイミングと量</t>
    <rPh sb="0" eb="1">
      <t>フ</t>
    </rPh>
    <rPh sb="9" eb="10">
      <t>リョウ</t>
    </rPh>
    <phoneticPr fontId="1"/>
  </si>
  <si>
    <t>・敵の量コントロール</t>
    <rPh sb="1" eb="2">
      <t>テキ</t>
    </rPh>
    <rPh sb="3" eb="4">
      <t>リョウ</t>
    </rPh>
    <phoneticPr fontId="1"/>
  </si>
  <si>
    <t>その他、タロットカードの効果によって増えたりもする。敵の群れの量に上限は設定しません。いきなり1000とかになるかもしれない。</t>
    <rPh sb="2" eb="3">
      <t>ホカ</t>
    </rPh>
    <rPh sb="12" eb="14">
      <t>コウカ</t>
    </rPh>
    <rPh sb="18" eb="19">
      <t>フ</t>
    </rPh>
    <rPh sb="26" eb="27">
      <t>テキ</t>
    </rPh>
    <rPh sb="28" eb="29">
      <t>ム</t>
    </rPh>
    <rPh sb="31" eb="32">
      <t>リョウ</t>
    </rPh>
    <rPh sb="33" eb="35">
      <t>ジョウゲン</t>
    </rPh>
    <rPh sb="36" eb="38">
      <t>セッテイ</t>
    </rPh>
    <phoneticPr fontId="1"/>
  </si>
  <si>
    <t>時報のタイミングで処理する。</t>
    <rPh sb="0" eb="2">
      <t>ジホウ</t>
    </rPh>
    <rPh sb="9" eb="11">
      <t>ショリ</t>
    </rPh>
    <phoneticPr fontId="1"/>
  </si>
  <si>
    <t>特に指定のない場合、ウェーブが開始されてから1秒後に敵の種類１～８のうちどれかが出現する。種類に設定された出現数の分現れる。1秒置いて次の群れがランダムに選ばれ、同様に出現する。</t>
    <rPh sb="0" eb="1">
      <t>トク</t>
    </rPh>
    <rPh sb="2" eb="4">
      <t>シテイ</t>
    </rPh>
    <rPh sb="7" eb="9">
      <t>バアイ</t>
    </rPh>
    <rPh sb="15" eb="17">
      <t>カイシ</t>
    </rPh>
    <rPh sb="23" eb="25">
      <t>ビョウゴ</t>
    </rPh>
    <rPh sb="26" eb="27">
      <t>テキ</t>
    </rPh>
    <rPh sb="28" eb="30">
      <t>シュルイ</t>
    </rPh>
    <rPh sb="40" eb="42">
      <t>シュツゲン</t>
    </rPh>
    <rPh sb="45" eb="47">
      <t>シュルイ</t>
    </rPh>
    <rPh sb="48" eb="50">
      <t>セッテイ</t>
    </rPh>
    <rPh sb="53" eb="56">
      <t>シュツゲンスウ</t>
    </rPh>
    <rPh sb="57" eb="58">
      <t>ブン</t>
    </rPh>
    <rPh sb="58" eb="59">
      <t>アラワ</t>
    </rPh>
    <rPh sb="63" eb="64">
      <t>ビョウ</t>
    </rPh>
    <rPh sb="64" eb="65">
      <t>オ</t>
    </rPh>
    <rPh sb="67" eb="68">
      <t>ツギ</t>
    </rPh>
    <rPh sb="69" eb="70">
      <t>ム</t>
    </rPh>
    <rPh sb="77" eb="78">
      <t>エラ</t>
    </rPh>
    <rPh sb="81" eb="83">
      <t>ドウヨウ</t>
    </rPh>
    <rPh sb="84" eb="86">
      <t>シュツゲン</t>
    </rPh>
    <phoneticPr fontId="1"/>
  </si>
  <si>
    <t>1/5の確率で前衛の少し上のあたりに降下してくるように出現する。</t>
    <rPh sb="4" eb="6">
      <t>カクリツ</t>
    </rPh>
    <rPh sb="7" eb="9">
      <t>ゼンエイ</t>
    </rPh>
    <rPh sb="10" eb="11">
      <t>スコ</t>
    </rPh>
    <rPh sb="12" eb="13">
      <t>ウエ</t>
    </rPh>
    <rPh sb="18" eb="20">
      <t>コウカ</t>
    </rPh>
    <rPh sb="27" eb="29">
      <t>シュツゲン</t>
    </rPh>
    <phoneticPr fontId="1"/>
  </si>
  <si>
    <t>ゲーム開始時にマップ全体にランダムに21か所魔女を設定してください。魔女の初期レベルはそのヘックスの敵レベルと等しいです。敵レベルが上がっても魔女レベルは上がりません。　魔女の潜むヘクスには"C:\Users\user\.antigravity\game\files\MAP\map_witch.png"　このグラフィックとWitch LV.〇　という風にレベルを表記してください。</t>
    <phoneticPr fontId="1"/>
  </si>
  <si>
    <t>バトルの後にリザルト</t>
    <rPh sb="4" eb="5">
      <t>アト</t>
    </rPh>
    <phoneticPr fontId="1"/>
  </si>
  <si>
    <t>取得経験値：XX</t>
    <rPh sb="0" eb="2">
      <t>シュトク</t>
    </rPh>
    <rPh sb="2" eb="5">
      <t>ケイケンチ</t>
    </rPh>
    <phoneticPr fontId="1"/>
  </si>
  <si>
    <t>戦闘後に得られる経験値は倒した雑魚敵の数*敵レベルの2乗 倒した魔女のレベルの2乗*200</t>
    <rPh sb="0" eb="3">
      <t>セントウアト</t>
    </rPh>
    <rPh sb="4" eb="5">
      <t>エ</t>
    </rPh>
    <rPh sb="8" eb="11">
      <t>ケイケンチ</t>
    </rPh>
    <rPh sb="12" eb="13">
      <t>タオ</t>
    </rPh>
    <rPh sb="15" eb="18">
      <t>ザコテキ</t>
    </rPh>
    <rPh sb="19" eb="20">
      <t>カズ</t>
    </rPh>
    <rPh sb="21" eb="22">
      <t>テキ</t>
    </rPh>
    <rPh sb="27" eb="28">
      <t>ジョウ</t>
    </rPh>
    <phoneticPr fontId="1"/>
  </si>
  <si>
    <t>最大5人のメンバーの、顔画像と経験値が縦に並ぶ</t>
    <rPh sb="0" eb="2">
      <t>サイダイ</t>
    </rPh>
    <rPh sb="3" eb="4">
      <t>ニン</t>
    </rPh>
    <rPh sb="11" eb="14">
      <t>カオガゾウ</t>
    </rPh>
    <rPh sb="15" eb="18">
      <t>ケイケンチ</t>
    </rPh>
    <rPh sb="19" eb="20">
      <t>タテ</t>
    </rPh>
    <rPh sb="21" eb="22">
      <t>ナラ</t>
    </rPh>
    <phoneticPr fontId="1"/>
  </si>
  <si>
    <t>取得経験値の（1/メンバー数）が各キャラクターの経験値に加算される</t>
    <rPh sb="0" eb="2">
      <t>シュトク</t>
    </rPh>
    <rPh sb="2" eb="5">
      <t>ケイケンチ</t>
    </rPh>
    <rPh sb="13" eb="14">
      <t>スウ</t>
    </rPh>
    <rPh sb="16" eb="17">
      <t>カク</t>
    </rPh>
    <rPh sb="24" eb="27">
      <t>ケイケンチ</t>
    </rPh>
    <rPh sb="28" eb="30">
      <t>カサン</t>
    </rPh>
    <phoneticPr fontId="1"/>
  </si>
  <si>
    <t>経験値がレベルアップに必要な分に至ると必要な分の経験値を失い、レベルが上がる。LEVEL UP！と赤字で表示</t>
    <rPh sb="0" eb="3">
      <t>ケイケンチ</t>
    </rPh>
    <rPh sb="11" eb="13">
      <t>ヒツヨウ</t>
    </rPh>
    <rPh sb="14" eb="15">
      <t>ブン</t>
    </rPh>
    <rPh sb="16" eb="17">
      <t>イタ</t>
    </rPh>
    <rPh sb="19" eb="21">
      <t>ヒツヨウ</t>
    </rPh>
    <rPh sb="22" eb="23">
      <t>ブン</t>
    </rPh>
    <rPh sb="24" eb="27">
      <t>ケイケンチ</t>
    </rPh>
    <rPh sb="28" eb="29">
      <t>ウシナ</t>
    </rPh>
    <rPh sb="35" eb="36">
      <t>ア</t>
    </rPh>
    <rPh sb="49" eb="51">
      <t>アカジ</t>
    </rPh>
    <rPh sb="52" eb="54">
      <t>ヒョウジ</t>
    </rPh>
    <phoneticPr fontId="1"/>
  </si>
  <si>
    <t>各キャラクタの経験値とは別にストック経験値というものがあり、それはステータス画面で自由に使うことができる。</t>
    <rPh sb="0" eb="1">
      <t>カク</t>
    </rPh>
    <rPh sb="7" eb="10">
      <t>ケイケンチ</t>
    </rPh>
    <rPh sb="12" eb="13">
      <t>ベツ</t>
    </rPh>
    <rPh sb="18" eb="21">
      <t>ケイケンチ</t>
    </rPh>
    <rPh sb="38" eb="40">
      <t>ガメン</t>
    </rPh>
    <rPh sb="41" eb="43">
      <t>ジユウ</t>
    </rPh>
    <rPh sb="44" eb="45">
      <t>ツカ</t>
    </rPh>
    <phoneticPr fontId="1"/>
  </si>
  <si>
    <t>ストック経験値：YYY</t>
    <rPh sb="4" eb="7">
      <t>ケイケンチ</t>
    </rPh>
    <phoneticPr fontId="1"/>
  </si>
  <si>
    <t>ストック経験値は、取得経験値と同じ値を得て戦闘毎に加算される</t>
    <rPh sb="4" eb="7">
      <t>ケイケンチ</t>
    </rPh>
    <rPh sb="9" eb="11">
      <t>シュトク</t>
    </rPh>
    <rPh sb="11" eb="14">
      <t>ケイケンチ</t>
    </rPh>
    <rPh sb="15" eb="16">
      <t>オナ</t>
    </rPh>
    <rPh sb="17" eb="18">
      <t>アタイ</t>
    </rPh>
    <rPh sb="19" eb="20">
      <t>エ</t>
    </rPh>
    <rPh sb="21" eb="24">
      <t>セントウゴト</t>
    </rPh>
    <rPh sb="25" eb="27">
      <t>カサン</t>
    </rPh>
    <phoneticPr fontId="1"/>
  </si>
  <si>
    <t>tap to continue</t>
    <phoneticPr fontId="1"/>
  </si>
  <si>
    <t>魔女の個性</t>
    <rPh sb="0" eb="2">
      <t>マジョ</t>
    </rPh>
    <rPh sb="3" eb="5">
      <t>コセイ</t>
    </rPh>
    <phoneticPr fontId="1"/>
  </si>
  <si>
    <t>各レーンをテレポートするように動く</t>
    <rPh sb="0" eb="1">
      <t>カク</t>
    </rPh>
    <rPh sb="15" eb="16">
      <t>ウゴ</t>
    </rPh>
    <phoneticPr fontId="1"/>
  </si>
  <si>
    <t>加速度加算が倍</t>
    <rPh sb="0" eb="3">
      <t>カソクド</t>
    </rPh>
    <rPh sb="3" eb="5">
      <t>カサン</t>
    </rPh>
    <rPh sb="6" eb="7">
      <t>バイ</t>
    </rPh>
    <phoneticPr fontId="1"/>
  </si>
  <si>
    <t>加速度加算が半分</t>
    <rPh sb="0" eb="3">
      <t>カソクド</t>
    </rPh>
    <rPh sb="3" eb="5">
      <t>カサン</t>
    </rPh>
    <rPh sb="6" eb="8">
      <t>ハンブン</t>
    </rPh>
    <phoneticPr fontId="1"/>
  </si>
  <si>
    <t>標準　5/10</t>
    <rPh sb="0" eb="2">
      <t>ヒョウジュン</t>
    </rPh>
    <phoneticPr fontId="1"/>
  </si>
  <si>
    <t>目標地点から逆に離れようとする。左右端、上下端で速度を反射せず、右から左、左から右、下から上に、上から下に移動する</t>
    <rPh sb="0" eb="2">
      <t>モクヒョウ</t>
    </rPh>
    <rPh sb="2" eb="4">
      <t>チテン</t>
    </rPh>
    <rPh sb="6" eb="7">
      <t>ギャク</t>
    </rPh>
    <rPh sb="8" eb="9">
      <t>ハナ</t>
    </rPh>
    <rPh sb="42" eb="43">
      <t>シタ</t>
    </rPh>
    <rPh sb="45" eb="46">
      <t>ウエ</t>
    </rPh>
    <rPh sb="48" eb="49">
      <t>ウエ</t>
    </rPh>
    <rPh sb="51" eb="52">
      <t>シタ</t>
    </rPh>
    <phoneticPr fontId="1"/>
  </si>
  <si>
    <t>速度が一定を超えると目標地点にテレポートする。</t>
    <rPh sb="0" eb="2">
      <t>ソクド</t>
    </rPh>
    <rPh sb="3" eb="5">
      <t>イッテイ</t>
    </rPh>
    <rPh sb="6" eb="7">
      <t>コ</t>
    </rPh>
    <rPh sb="10" eb="12">
      <t>モクヒョウ</t>
    </rPh>
    <rPh sb="12" eb="14">
      <t>チテン</t>
    </rPh>
    <phoneticPr fontId="1"/>
  </si>
  <si>
    <t>4567に関して</t>
    <rPh sb="5" eb="6">
      <t>カン</t>
    </rPh>
    <phoneticPr fontId="1"/>
  </si>
  <si>
    <t>リロード12秒-魔女レベル</t>
    <rPh sb="6" eb="7">
      <t>ビョウ</t>
    </rPh>
    <rPh sb="8" eb="10">
      <t>マジョ</t>
    </rPh>
    <phoneticPr fontId="1"/>
  </si>
  <si>
    <t>1/2の確率で得意属性の攻撃を行い、リロードを12秒-魔女レベルとする</t>
    <rPh sb="4" eb="6">
      <t>カクリツ</t>
    </rPh>
    <rPh sb="7" eb="9">
      <t>トクイ</t>
    </rPh>
    <rPh sb="9" eb="11">
      <t>ゾクセイ</t>
    </rPh>
    <rPh sb="12" eb="14">
      <t>コウゲキ</t>
    </rPh>
    <rPh sb="15" eb="16">
      <t>オコナ</t>
    </rPh>
    <phoneticPr fontId="1"/>
  </si>
  <si>
    <t>その他は1/6の確率で選ばれ、リロードを16秒-魔女レベルとする</t>
    <rPh sb="2" eb="3">
      <t>ホカ</t>
    </rPh>
    <rPh sb="8" eb="10">
      <t>カクリツ</t>
    </rPh>
    <rPh sb="11" eb="12">
      <t>エラ</t>
    </rPh>
    <phoneticPr fontId="1"/>
  </si>
  <si>
    <t>魔女が赤属性の場合、ランダムに選ばれリロードは16秒-魔女レベルとなる。</t>
    <rPh sb="0" eb="2">
      <t>マジョ</t>
    </rPh>
    <rPh sb="3" eb="4">
      <t>アカ</t>
    </rPh>
    <rPh sb="4" eb="6">
      <t>ゾクセイ</t>
    </rPh>
    <rPh sb="7" eb="9">
      <t>バアイ</t>
    </rPh>
    <rPh sb="15" eb="16">
      <t>エラ</t>
    </rPh>
    <phoneticPr fontId="1"/>
  </si>
  <si>
    <t>黄属性の場合選ばれやすい</t>
    <rPh sb="0" eb="1">
      <t>キ</t>
    </rPh>
    <rPh sb="1" eb="3">
      <t>ゾクセイ</t>
    </rPh>
    <rPh sb="4" eb="6">
      <t>バアイ</t>
    </rPh>
    <rPh sb="6" eb="7">
      <t>エラ</t>
    </rPh>
    <phoneticPr fontId="1"/>
  </si>
  <si>
    <t>紫属性の場合選ばれやすい</t>
    <rPh sb="0" eb="1">
      <t>ムラサキ</t>
    </rPh>
    <rPh sb="1" eb="3">
      <t>ゾクセイ</t>
    </rPh>
    <phoneticPr fontId="1"/>
  </si>
  <si>
    <t>青属性の場合選ばれやすい</t>
    <rPh sb="0" eb="1">
      <t>アオ</t>
    </rPh>
    <rPh sb="1" eb="3">
      <t>ゾクセイ</t>
    </rPh>
    <phoneticPr fontId="1"/>
  </si>
  <si>
    <t>緑属性の場合選ばれやすい</t>
    <rPh sb="0" eb="1">
      <t>ミドリ</t>
    </rPh>
    <rPh sb="1" eb="3">
      <t>ゾクセイ</t>
    </rPh>
    <phoneticPr fontId="1"/>
  </si>
  <si>
    <t>ウェーブ数が0.2上がる。ウェーブ数は現場では端数切上げ。</t>
    <rPh sb="4" eb="5">
      <t>スウ</t>
    </rPh>
    <rPh sb="9" eb="10">
      <t>ア</t>
    </rPh>
    <rPh sb="17" eb="18">
      <t>スウ</t>
    </rPh>
    <rPh sb="19" eb="21">
      <t>ゲンバ</t>
    </rPh>
    <rPh sb="23" eb="25">
      <t>ハスウ</t>
    </rPh>
    <rPh sb="25" eb="27">
      <t>キリア</t>
    </rPh>
    <phoneticPr fontId="1"/>
  </si>
  <si>
    <t>7日の夜ごとにマップ上のすべての敵のレベルが1上がる。魔女のレベルは上がらない。</t>
    <rPh sb="1" eb="2">
      <t>ニチ</t>
    </rPh>
    <rPh sb="3" eb="4">
      <t>ヨル</t>
    </rPh>
    <rPh sb="10" eb="11">
      <t>ウエ</t>
    </rPh>
    <rPh sb="16" eb="17">
      <t>テキ</t>
    </rPh>
    <rPh sb="23" eb="24">
      <t>ア</t>
    </rPh>
    <rPh sb="27" eb="29">
      <t>マジョ</t>
    </rPh>
    <rPh sb="34" eb="35">
      <t>ア</t>
    </rPh>
    <phoneticPr fontId="1"/>
  </si>
  <si>
    <t>キャラクターの生命力が戦闘中にゼロになると、グラフィックが7番目の倒れた絵になり、前衛位置にいれば後列に飛ばされる。</t>
    <phoneticPr fontId="1"/>
  </si>
  <si>
    <t>攻撃、移動、必殺技の発動ができなくなる。ただし、気力が残っているとまだ呼吸運動だけはしている。戦闘中に復活することはできない。</t>
    <phoneticPr fontId="1"/>
  </si>
  <si>
    <t>休息で精神力を使って生命力を回復すれば戦闘可能になる。　</t>
    <phoneticPr fontId="1"/>
  </si>
  <si>
    <t>戦闘中に全員が行動不能になるとゲームオーバー、戦闘に入る前の状態から再開される。</t>
    <rPh sb="0" eb="3">
      <t>セントウチュウ</t>
    </rPh>
    <rPh sb="4" eb="6">
      <t>ゼンイン</t>
    </rPh>
    <rPh sb="7" eb="11">
      <t>コウドウフノウ</t>
    </rPh>
    <rPh sb="23" eb="25">
      <t>セントウ</t>
    </rPh>
    <rPh sb="26" eb="27">
      <t>ハイ</t>
    </rPh>
    <rPh sb="28" eb="29">
      <t>マエ</t>
    </rPh>
    <rPh sb="30" eb="32">
      <t>ジョウタイ</t>
    </rPh>
    <rPh sb="34" eb="36">
      <t>サイカイ</t>
    </rPh>
    <phoneticPr fontId="1"/>
  </si>
  <si>
    <t>戦闘中に右上にある一時停止ボタンを押すと戦闘は一時停止し画面中央に[再開][撤退] というメニューが表示される。再開を押すと再開。撤退を押すと</t>
    <rPh sb="0" eb="3">
      <t>セントウチュウ</t>
    </rPh>
    <rPh sb="4" eb="6">
      <t>ミギウエ</t>
    </rPh>
    <rPh sb="9" eb="13">
      <t>イチジテイシ</t>
    </rPh>
    <rPh sb="17" eb="18">
      <t>オ</t>
    </rPh>
    <rPh sb="20" eb="22">
      <t>セントウ</t>
    </rPh>
    <rPh sb="23" eb="27">
      <t>イチジテイシ</t>
    </rPh>
    <rPh sb="28" eb="32">
      <t>ガメンチュウオウ</t>
    </rPh>
    <rPh sb="34" eb="36">
      <t>サイカイ</t>
    </rPh>
    <rPh sb="38" eb="40">
      <t>テッタイ</t>
    </rPh>
    <rPh sb="50" eb="52">
      <t>ヒョウジ</t>
    </rPh>
    <rPh sb="56" eb="58">
      <t>サイカイ</t>
    </rPh>
    <rPh sb="59" eb="60">
      <t>オ</t>
    </rPh>
    <rPh sb="62" eb="64">
      <t>サイカイ</t>
    </rPh>
    <rPh sb="65" eb="67">
      <t>テッタイ</t>
    </rPh>
    <rPh sb="68" eb="69">
      <t>オ</t>
    </rPh>
    <phoneticPr fontId="1"/>
  </si>
  <si>
    <t>「戦闘に入る前の状態に戻ります。」「はい」「いいえ」と聞かれる。はいを押すと戦闘に入る前の状態に戻る。</t>
    <rPh sb="1" eb="3">
      <t>セントウ</t>
    </rPh>
    <rPh sb="4" eb="5">
      <t>ハイ</t>
    </rPh>
    <rPh sb="6" eb="7">
      <t>マエ</t>
    </rPh>
    <rPh sb="8" eb="10">
      <t>ジョウタイ</t>
    </rPh>
    <rPh sb="11" eb="12">
      <t>モド</t>
    </rPh>
    <rPh sb="27" eb="28">
      <t>キ</t>
    </rPh>
    <rPh sb="35" eb="36">
      <t>オ</t>
    </rPh>
    <rPh sb="38" eb="40">
      <t>セントウ</t>
    </rPh>
    <rPh sb="41" eb="42">
      <t>ハイ</t>
    </rPh>
    <rPh sb="43" eb="44">
      <t>マエ</t>
    </rPh>
    <rPh sb="45" eb="47">
      <t>ジョウタイ</t>
    </rPh>
    <rPh sb="48" eb="49">
      <t>モド</t>
    </rPh>
    <phoneticPr fontId="1"/>
  </si>
  <si>
    <t>「戦闘に入る前の状態」とはヘクス移動の前になることもあるので、踏破フラグなどもしっかり巻き戻せるように記録してください。あまりしないでいいように順序決めてるはずですが。</t>
    <rPh sb="1" eb="3">
      <t>セントウ</t>
    </rPh>
    <rPh sb="4" eb="5">
      <t>ハイ</t>
    </rPh>
    <rPh sb="6" eb="7">
      <t>マエ</t>
    </rPh>
    <rPh sb="8" eb="10">
      <t>ジョウタイ</t>
    </rPh>
    <rPh sb="16" eb="18">
      <t>イドウ</t>
    </rPh>
    <rPh sb="19" eb="20">
      <t>マエ</t>
    </rPh>
    <rPh sb="31" eb="33">
      <t>トウハ</t>
    </rPh>
    <rPh sb="43" eb="44">
      <t>マ</t>
    </rPh>
    <rPh sb="45" eb="46">
      <t>モド</t>
    </rPh>
    <rPh sb="51" eb="53">
      <t>キロク</t>
    </rPh>
    <rPh sb="72" eb="74">
      <t>ジュンジョ</t>
    </rPh>
    <rPh sb="74" eb="75">
      <t>キ</t>
    </rPh>
    <phoneticPr fontId="1"/>
  </si>
  <si>
    <t>夜に探索を行っても戦闘に突入します。この場合はヘクス移動を伴わない戦闘になります。夜に探索を行い、もし勝利すれば食料も得ることができます。</t>
    <rPh sb="0" eb="1">
      <t>ヨル</t>
    </rPh>
    <rPh sb="2" eb="4">
      <t>タンサク</t>
    </rPh>
    <rPh sb="5" eb="6">
      <t>オコナ</t>
    </rPh>
    <rPh sb="9" eb="11">
      <t>セントウ</t>
    </rPh>
    <rPh sb="12" eb="14">
      <t>トツニュウ</t>
    </rPh>
    <rPh sb="20" eb="22">
      <t>バアイ</t>
    </rPh>
    <rPh sb="26" eb="28">
      <t>イドウ</t>
    </rPh>
    <rPh sb="29" eb="30">
      <t>トモナ</t>
    </rPh>
    <rPh sb="33" eb="35">
      <t>セントウ</t>
    </rPh>
    <rPh sb="41" eb="42">
      <t>ヨル</t>
    </rPh>
    <rPh sb="43" eb="45">
      <t>タンサク</t>
    </rPh>
    <rPh sb="46" eb="47">
      <t>オコナ</t>
    </rPh>
    <rPh sb="51" eb="53">
      <t>ショウリ</t>
    </rPh>
    <rPh sb="56" eb="58">
      <t>ショクリョウ</t>
    </rPh>
    <rPh sb="59" eb="60">
      <t>エ</t>
    </rPh>
    <phoneticPr fontId="1"/>
  </si>
  <si>
    <t>雑魚はレベルが上がるごとにHPが100%増える。他はなにも上昇しない。</t>
    <rPh sb="0" eb="2">
      <t>ザコ</t>
    </rPh>
    <rPh sb="7" eb="8">
      <t>ア</t>
    </rPh>
    <rPh sb="20" eb="21">
      <t>フ</t>
    </rPh>
    <rPh sb="24" eb="25">
      <t>ホカ</t>
    </rPh>
    <rPh sb="29" eb="31">
      <t>ジョウショウ</t>
    </rPh>
    <phoneticPr fontId="1"/>
  </si>
  <si>
    <t>他が上昇するのはイベントによって狂暴性が増すとき。</t>
    <rPh sb="0" eb="1">
      <t>ホカ</t>
    </rPh>
    <rPh sb="2" eb="4">
      <t>ジョウショウ</t>
    </rPh>
    <rPh sb="16" eb="19">
      <t>キョウボウセイ</t>
    </rPh>
    <rPh sb="20" eb="21">
      <t>マ</t>
    </rPh>
    <phoneticPr fontId="1"/>
  </si>
  <si>
    <t>発生場所からランダムな方向にゆっくり移動しながら2秒かけて大きくなり、ランダムな方向に飛び出す。攻撃力5、速度30の弾丸を1秒間20発、（2+魔女レベル）秒の間生成する。</t>
    <rPh sb="0" eb="4">
      <t>ハッセイバショ</t>
    </rPh>
    <rPh sb="11" eb="13">
      <t>ホウコウ</t>
    </rPh>
    <rPh sb="18" eb="20">
      <t>イドウ</t>
    </rPh>
    <rPh sb="25" eb="26">
      <t>ビョウ</t>
    </rPh>
    <rPh sb="29" eb="30">
      <t>オオ</t>
    </rPh>
    <rPh sb="40" eb="42">
      <t>ホウコウ</t>
    </rPh>
    <rPh sb="43" eb="44">
      <t>ト</t>
    </rPh>
    <rPh sb="45" eb="46">
      <t>ダ</t>
    </rPh>
    <rPh sb="48" eb="51">
      <t>コウゲキリョク</t>
    </rPh>
    <rPh sb="53" eb="55">
      <t>ソクド</t>
    </rPh>
    <rPh sb="58" eb="60">
      <t>ダンガン</t>
    </rPh>
    <rPh sb="62" eb="64">
      <t>ビョウカン</t>
    </rPh>
    <rPh sb="66" eb="67">
      <t>ハツ</t>
    </rPh>
    <rPh sb="71" eb="73">
      <t>マジョ</t>
    </rPh>
    <rPh sb="77" eb="78">
      <t>ビョウ</t>
    </rPh>
    <rPh sb="79" eb="80">
      <t>アイダ</t>
    </rPh>
    <rPh sb="80" eb="82">
      <t>セイセイ</t>
    </rPh>
    <phoneticPr fontId="1"/>
  </si>
  <si>
    <t>攻撃力5で速度3で方向はランダムな弾丸を一度に30発、1秒に1回、（2+魔女レベル）セット吐く。</t>
    <rPh sb="9" eb="11">
      <t>ホウコウ</t>
    </rPh>
    <rPh sb="28" eb="29">
      <t>ビョウ</t>
    </rPh>
    <rPh sb="31" eb="32">
      <t>カイ</t>
    </rPh>
    <phoneticPr fontId="1"/>
  </si>
  <si>
    <t>画面上部から1秒に30発づつ（2+魔女レベル）秒の間の弾丸が垂直に速度10で落ちてくる。攻撃力５</t>
    <rPh sb="0" eb="2">
      <t>ガメン</t>
    </rPh>
    <rPh sb="2" eb="4">
      <t>ジョウブ</t>
    </rPh>
    <rPh sb="7" eb="8">
      <t>ビョウ</t>
    </rPh>
    <rPh sb="11" eb="12">
      <t>ハツ</t>
    </rPh>
    <rPh sb="23" eb="24">
      <t>ビョウ</t>
    </rPh>
    <rPh sb="25" eb="26">
      <t>アイダ</t>
    </rPh>
    <rPh sb="27" eb="29">
      <t>ダンガン</t>
    </rPh>
    <rPh sb="30" eb="32">
      <t>スイチョク</t>
    </rPh>
    <rPh sb="33" eb="35">
      <t>ソクド</t>
    </rPh>
    <rPh sb="38" eb="39">
      <t>オ</t>
    </rPh>
    <rPh sb="44" eb="47">
      <t>コウゲキリョク</t>
    </rPh>
    <phoneticPr fontId="1"/>
  </si>
  <si>
    <t>後列にいる誰か、後列に誰もいなければ前列の誰かに向かって攻撃力1で速度50の弾丸を（2+魔女レベル）*10発連続で放つ。</t>
    <rPh sb="0" eb="2">
      <t>コウレツ</t>
    </rPh>
    <rPh sb="5" eb="6">
      <t>ダレ</t>
    </rPh>
    <rPh sb="8" eb="10">
      <t>コウレツ</t>
    </rPh>
    <rPh sb="11" eb="12">
      <t>ダレ</t>
    </rPh>
    <rPh sb="18" eb="20">
      <t>ゼンレツ</t>
    </rPh>
    <rPh sb="21" eb="22">
      <t>ダレ</t>
    </rPh>
    <rPh sb="24" eb="25">
      <t>ム</t>
    </rPh>
    <rPh sb="28" eb="31">
      <t>コウゲキリョク</t>
    </rPh>
    <rPh sb="33" eb="35">
      <t>ソクド</t>
    </rPh>
    <rPh sb="38" eb="40">
      <t>ダンガン</t>
    </rPh>
    <rPh sb="53" eb="54">
      <t>ハツ</t>
    </rPh>
    <rPh sb="54" eb="56">
      <t>レンゾク</t>
    </rPh>
    <rPh sb="57" eb="58">
      <t>ハナ</t>
    </rPh>
    <phoneticPr fontId="1"/>
  </si>
  <si>
    <t>4.5/(メンバー人数)　に一回,メンバーの誰かを狙った速度20の弾丸を撃つ。攻撃力は魔女の攻撃力。</t>
    <rPh sb="9" eb="11">
      <t>ニンズウ</t>
    </rPh>
    <rPh sb="14" eb="16">
      <t>イッカイ</t>
    </rPh>
    <rPh sb="22" eb="23">
      <t>ダレ</t>
    </rPh>
    <rPh sb="25" eb="26">
      <t>ネラ</t>
    </rPh>
    <rPh sb="28" eb="30">
      <t>ソクド</t>
    </rPh>
    <rPh sb="33" eb="35">
      <t>ダンガン</t>
    </rPh>
    <rPh sb="36" eb="37">
      <t>ウ</t>
    </rPh>
    <rPh sb="39" eb="42">
      <t>コウゲキリョク</t>
    </rPh>
    <rPh sb="43" eb="45">
      <t>マジョ</t>
    </rPh>
    <rPh sb="46" eb="49">
      <t>コウゲキリョク</t>
    </rPh>
    <phoneticPr fontId="1"/>
  </si>
  <si>
    <t>まったくランダムな方向に速度20で撃つ。撃つたび次のリロード時間を抽選し、不定期に発射する。攻撃力は魔女の攻撃力。</t>
    <rPh sb="9" eb="11">
      <t>ホウコウ</t>
    </rPh>
    <rPh sb="12" eb="14">
      <t>ソクド</t>
    </rPh>
    <rPh sb="20" eb="21">
      <t>ウ</t>
    </rPh>
    <rPh sb="24" eb="25">
      <t>ツギ</t>
    </rPh>
    <rPh sb="30" eb="32">
      <t>ジカン</t>
    </rPh>
    <rPh sb="33" eb="35">
      <t>チュウセン</t>
    </rPh>
    <rPh sb="37" eb="40">
      <t>フテイキ</t>
    </rPh>
    <rPh sb="41" eb="43">
      <t>ハッシャ</t>
    </rPh>
    <phoneticPr fontId="1"/>
  </si>
  <si>
    <t>魔女の中心座標+大きさ/2+2mまで近づいているものがいると発射する速度20の大きい弾。命中したキャラクターを後列に下げ、1秒間行動不能にする。攻撃力は魔女の攻撃力。</t>
    <rPh sb="0" eb="2">
      <t>マジョ</t>
    </rPh>
    <rPh sb="3" eb="7">
      <t>チュウシンザヒョウ</t>
    </rPh>
    <rPh sb="8" eb="9">
      <t>オオ</t>
    </rPh>
    <rPh sb="18" eb="19">
      <t>チカ</t>
    </rPh>
    <rPh sb="30" eb="32">
      <t>ハッシャ</t>
    </rPh>
    <rPh sb="34" eb="36">
      <t>ソクド</t>
    </rPh>
    <rPh sb="39" eb="40">
      <t>オオ</t>
    </rPh>
    <rPh sb="42" eb="43">
      <t>ダン</t>
    </rPh>
    <rPh sb="44" eb="46">
      <t>メイチュウ</t>
    </rPh>
    <rPh sb="55" eb="57">
      <t>コウレツ</t>
    </rPh>
    <rPh sb="58" eb="59">
      <t>サ</t>
    </rPh>
    <rPh sb="62" eb="63">
      <t>ビョウ</t>
    </rPh>
    <rPh sb="63" eb="64">
      <t>カン</t>
    </rPh>
    <rPh sb="64" eb="68">
      <t>コウドウフノウ</t>
    </rPh>
    <phoneticPr fontId="1"/>
  </si>
  <si>
    <t>魔女の攻撃パターン</t>
    <rPh sb="0" eb="2">
      <t>マジョ</t>
    </rPh>
    <rPh sb="3" eb="5">
      <t>コウゲキ</t>
    </rPh>
    <phoneticPr fontId="1"/>
  </si>
  <si>
    <t>魔女LV9</t>
    <rPh sb="0" eb="2">
      <t>マジョ</t>
    </rPh>
    <phoneticPr fontId="1"/>
  </si>
  <si>
    <t>魔女LV10</t>
    <rPh sb="0" eb="2">
      <t>マジョ</t>
    </rPh>
    <phoneticPr fontId="1"/>
  </si>
  <si>
    <t>魔女LV11</t>
    <rPh sb="0" eb="2">
      <t>マジョ</t>
    </rPh>
    <phoneticPr fontId="1"/>
  </si>
  <si>
    <t>魔女LV12</t>
    <rPh sb="0" eb="2">
      <t>マジョ</t>
    </rPh>
    <phoneticPr fontId="1"/>
  </si>
  <si>
    <t>魔女LV13</t>
    <rPh sb="0" eb="2">
      <t>マジョ</t>
    </rPh>
    <phoneticPr fontId="1"/>
  </si>
  <si>
    <t>dps</t>
    <phoneticPr fontId="1"/>
  </si>
  <si>
    <t>・雑魚敵夜限定強化更新　雑魚敵レベルが本来の+3になる　マップに設定のない場合、編成中キャラクターの一番レベルが高いキャラクター+3とする。　出現数が1.5倍になる　ウェーブ数が3になる　大きさが1.5倍になる　雑魚敵の攻撃射程が2倍になる　キャラクターの受けるダメージが2倍になる(各属性防御力、抵抗力に+100のデバフを受ける)　魔女出現時もレベルが同様に高レベルキャラクターの+5，HPは本来の2倍　キャラクターの受けるダメージが2倍になる(各属性防御力、抵抗力に+100のデバフを受ける)　　</t>
  </si>
  <si>
    <t>時間進行（1日/時間帯進行ごと）</t>
  </si>
  <si>
    <t>調整内容: ご要望通り 1〜3体（ランダム） の増加へとマイルドに調整したよ！</t>
  </si>
  <si>
    <t>味方が増えたときの敵増加</t>
  </si>
  <si>
    <t>戦闘時（ウェーブ内）: 主人公1人（単体）を基準として、仲間が1人増えるごとにウェーブ内敵数が +15体 加算される設定になっているよ！</t>
  </si>
  <si>
    <t>マップ全体: 仲間が1人増えた瞬間に、全体の敵数が 1.２倍　+10＆ 敵レベルが +1 されるよ！</t>
    <phoneticPr fontId="1"/>
  </si>
  <si>
    <t>赤い情熱</t>
    <rPh sb="0" eb="1">
      <t>アカ</t>
    </rPh>
    <rPh sb="2" eb="4">
      <t>ジョウネツ</t>
    </rPh>
    <phoneticPr fontId="1"/>
  </si>
  <si>
    <t>紫の混沌</t>
    <rPh sb="0" eb="1">
      <t>ムラサキ</t>
    </rPh>
    <rPh sb="2" eb="4">
      <t>コントン</t>
    </rPh>
    <phoneticPr fontId="1"/>
  </si>
  <si>
    <t>緑の調和</t>
    <rPh sb="0" eb="1">
      <t>ミドリ</t>
    </rPh>
    <rPh sb="2" eb="4">
      <t>チョウワ</t>
    </rPh>
    <phoneticPr fontId="1"/>
  </si>
  <si>
    <t>黄色の犠牲</t>
    <rPh sb="0" eb="2">
      <t>キイロ</t>
    </rPh>
    <rPh sb="3" eb="5">
      <t>ギセイ</t>
    </rPh>
    <phoneticPr fontId="1"/>
  </si>
  <si>
    <t>青い統制</t>
    <rPh sb="0" eb="1">
      <t>アオ</t>
    </rPh>
    <rPh sb="2" eb="4">
      <t>トウセイ</t>
    </rPh>
    <phoneticPr fontId="1"/>
  </si>
  <si>
    <t>赤い情熱は、紫の混沌に強く青い統制に弱い。</t>
  </si>
  <si>
    <t>紫の混沌は、緑の調和に強く赤い情熱に弱い。</t>
    <phoneticPr fontId="1"/>
  </si>
  <si>
    <t>緑の調和は、黄色の犠牲に強く紫の混沌に弱い。</t>
    <phoneticPr fontId="1"/>
  </si>
  <si>
    <t>黄色の犠牲は、青い統制に強く緑の調和に弱い。</t>
    <phoneticPr fontId="1"/>
  </si>
  <si>
    <t>青い統制は、赤い情熱に強く黄色の犠牲に弱い。</t>
    <phoneticPr fontId="1"/>
  </si>
  <si>
    <t>スウォーム</t>
  </si>
  <si>
    <t>フライ</t>
  </si>
  <si>
    <t>スピリット</t>
  </si>
  <si>
    <t>マノウォー</t>
  </si>
  <si>
    <t>ゴブリン</t>
  </si>
  <si>
    <t>コボルド</t>
  </si>
  <si>
    <t>オーク</t>
  </si>
  <si>
    <t>オーガ</t>
  </si>
  <si>
    <t>ゴーレム</t>
  </si>
  <si>
    <t>ID,名前,出現数,HP,移動速度,移動距離(m),移動間隔(秒),攻撃射程(m),攻撃頻度,攻撃力,重量,デバフ抵抗,大きさ,テクスチャ,フレーム</t>
  </si>
  <si>
    <t>1,スウォーム,9,15,100,6.0,0.5,3.0,0.5,1,5,0,0.5,en003,0</t>
  </si>
  <si>
    <t>2,フライ,4,30,75,4.5,0.45,4.0,0.5,1,10,0,0.75,en003,1</t>
  </si>
  <si>
    <t>3,スピリット,8,50,55,6.0,0.4,4.0,0.5,1,45,50,1.0,en003,2</t>
  </si>
  <si>
    <t>4,マノウォー,3,30,60,6.0,0.3,8.0,1.0,1,15,50,1.0,en003,3</t>
  </si>
  <si>
    <t>5,ゴブリン,8,50,50,3.0,0.25,4.0,1.0,1,35,0,0.5,en001,2</t>
  </si>
  <si>
    <t>6,コボルド,6,90,40,4.5,0.35,4.0,1.0,1,55,50,0.75,en002,3</t>
  </si>
  <si>
    <t>7,オーク,6,90,30,3.9,0.5,8.0,2.0,1,75,0,0.75,en001,0</t>
  </si>
  <si>
    <t>8,オーガ,3,125,25,3.6,0.35,8.0,2.0,1,110,50,1.0,en002,2</t>
  </si>
  <si>
    <t>9,ゴーレム,1,250,25,3.6,0.6,8.0,2.0,1,110,50,1.25,en002,1</t>
  </si>
  <si>
    <t>10,サンドバッグ,3,99999,0,0,99,0,99,0,1000,100,1.0,en001,1</t>
  </si>
  <si>
    <t>en003</t>
  </si>
  <si>
    <t>en001</t>
  </si>
  <si>
    <t>en002</t>
  </si>
  <si>
    <t>サンドバッグ</t>
  </si>
  <si>
    <t>テクスチャ</t>
  </si>
  <si>
    <t>フレーム</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</si>
</sst>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游ゴシック"/>
      <family val="2"/>
      <charset val="128"/>
      <scheme val="minor"/>
    </font>
    <font>
      <sz val="6"/>
      <name val="游ゴシック"/>
      <family val="2"/>
      <charset val="128"/>
      <scheme val="minor"/>
    </font>
    <font>
      <sz val="11"/>
      <color rgb="FFFF0000"/>
      <name val="游ゴシック"/>
      <family val="2"/>
      <charset val="128"/>
      <scheme val="minor"/>
    </font>
    <font>
      <sz val="11"/>
      <color theme="5"/>
      <name val="游ゴシック"/>
      <family val="2"/>
      <charset val="128"/>
      <scheme val="minor"/>
    </font>
    <font>
      <sz val="11"/>
      <color theme="9" tint="-0.499984740745262"/>
      <name val="游ゴシック"/>
      <family val="2"/>
      <charset val="128"/>
      <scheme val="minor"/>
    </font>
    <font>
      <sz val="9"/>
      <color rgb="FFCCCCCC"/>
      <name val="Courier New"/>
      <family val="3"/>
    </font>
  </fonts>
  <fills count="2">
    <fill>
      <patternFill patternType="none"/>
    </fill>
    <fill>
      <patternFill patternType="gray125"/>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s>
  <cellStyleXfs count="1">
    <xf numFmtId="0" fontId="0" fillId="0" borderId="0">
      <alignment vertical="center"/>
    </xf>
  </cellStyleXfs>
  <cellXfs count="10">
    <xf numFmtId="0" fontId="0" fillId="0" borderId="0" xfId="0">
      <alignment vertical="center"/>
    </xf>
    <xf numFmtId="9" fontId="0" fillId="0" borderId="0" xfId="0" applyNumberFormat="1">
      <alignment vertical="center"/>
    </xf>
    <xf numFmtId="0" fontId="2" fillId="0" borderId="0" xfId="0" applyFont="1">
      <alignment vertical="center"/>
    </xf>
    <xf numFmtId="0" fontId="3" fillId="0" borderId="0" xfId="0" applyFont="1">
      <alignment vertical="center"/>
    </xf>
    <xf numFmtId="0" fontId="4" fillId="0" borderId="0" xfId="0" applyFont="1">
      <alignment vertical="center"/>
    </xf>
    <xf numFmtId="0" fontId="0" fillId="0" borderId="1" xfId="0" applyBorder="1">
      <alignment vertical="center"/>
    </xf>
    <xf numFmtId="0" fontId="0" fillId="0" borderId="0" xfId="0" applyBorder="1">
      <alignment vertical="center"/>
    </xf>
    <xf numFmtId="0" fontId="5" fillId="0" borderId="0" xfId="0" applyFont="1">
      <alignment vertical="center"/>
    </xf>
    <xf numFmtId="0" fontId="0" fillId="0" borderId="2" xfId="0" applyBorder="1">
      <alignment vertical="center"/>
    </xf>
    <xf numFmtId="0" fontId="0" fillId="0" borderId="3" xfId="0" applyBorder="1">
      <alignment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5F42A9-A13E-41B6-8ACC-85810A7C82E6}">
  <dimension ref="A2:P226"/>
  <sheetViews>
    <sheetView tabSelected="1" topLeftCell="A8" zoomScale="85" zoomScaleNormal="85" workbookViewId="0">
      <selection activeCell="A20" sqref="A20:O29"/>
    </sheetView>
  </sheetViews>
  <sheetFormatPr defaultRowHeight="18.75" x14ac:dyDescent="0.4"/>
  <cols>
    <col min="3" max="3" width="9" customWidth="1"/>
  </cols>
  <sheetData>
    <row r="2" spans="1:15" x14ac:dyDescent="0.4">
      <c r="B2" t="s">
        <v>0</v>
      </c>
    </row>
    <row r="3" spans="1:15" x14ac:dyDescent="0.4">
      <c r="B3" t="s">
        <v>1</v>
      </c>
      <c r="C3" t="s">
        <v>2</v>
      </c>
    </row>
    <row r="4" spans="1:15" x14ac:dyDescent="0.4">
      <c r="C4" t="s">
        <v>3</v>
      </c>
    </row>
    <row r="5" spans="1:15" x14ac:dyDescent="0.4">
      <c r="C5" t="s">
        <v>4</v>
      </c>
    </row>
    <row r="6" spans="1:15" x14ac:dyDescent="0.4">
      <c r="C6" t="s">
        <v>5</v>
      </c>
    </row>
    <row r="7" spans="1:15" x14ac:dyDescent="0.4">
      <c r="A7" t="s">
        <v>55</v>
      </c>
    </row>
    <row r="8" spans="1:15" x14ac:dyDescent="0.4">
      <c r="A8" s="5"/>
      <c r="B8" s="5" t="s">
        <v>14</v>
      </c>
      <c r="C8" s="5" t="s">
        <v>6</v>
      </c>
      <c r="D8" s="5" t="s">
        <v>7</v>
      </c>
      <c r="E8" s="5" t="s">
        <v>12</v>
      </c>
      <c r="F8" s="5" t="s">
        <v>10</v>
      </c>
      <c r="G8" s="5" t="s">
        <v>11</v>
      </c>
      <c r="H8" s="5" t="s">
        <v>13</v>
      </c>
      <c r="I8" s="5" t="s">
        <v>15</v>
      </c>
      <c r="J8" s="5" t="s">
        <v>8</v>
      </c>
      <c r="K8" s="5" t="s">
        <v>9</v>
      </c>
      <c r="L8" s="5" t="s">
        <v>16</v>
      </c>
      <c r="M8" s="5" t="s">
        <v>18</v>
      </c>
      <c r="N8" s="5" t="s">
        <v>239</v>
      </c>
      <c r="O8" s="5" t="s">
        <v>240</v>
      </c>
    </row>
    <row r="9" spans="1:15" x14ac:dyDescent="0.4">
      <c r="A9" s="5">
        <v>1</v>
      </c>
      <c r="B9" s="5" t="s">
        <v>215</v>
      </c>
      <c r="C9" s="5">
        <v>9</v>
      </c>
      <c r="D9" s="5">
        <v>15</v>
      </c>
      <c r="E9" s="5">
        <v>3</v>
      </c>
      <c r="F9" s="5">
        <v>6</v>
      </c>
      <c r="G9" s="5">
        <v>0.5</v>
      </c>
      <c r="H9" s="5">
        <v>4</v>
      </c>
      <c r="I9" s="5">
        <v>0.5</v>
      </c>
      <c r="J9" s="5">
        <v>1</v>
      </c>
      <c r="K9" s="5">
        <v>5</v>
      </c>
      <c r="L9" s="5">
        <v>0</v>
      </c>
      <c r="M9" s="5">
        <v>0.5</v>
      </c>
      <c r="N9" s="5" t="s">
        <v>235</v>
      </c>
      <c r="O9" s="5">
        <v>0</v>
      </c>
    </row>
    <row r="10" spans="1:15" x14ac:dyDescent="0.4">
      <c r="A10" s="5">
        <v>2</v>
      </c>
      <c r="B10" s="5" t="s">
        <v>216</v>
      </c>
      <c r="C10" s="5">
        <v>4</v>
      </c>
      <c r="D10" s="5">
        <v>30</v>
      </c>
      <c r="E10" s="5">
        <v>2.5</v>
      </c>
      <c r="F10" s="5">
        <v>4.5</v>
      </c>
      <c r="G10" s="5">
        <v>0.45</v>
      </c>
      <c r="H10" s="5">
        <v>6</v>
      </c>
      <c r="I10" s="5">
        <v>0.5</v>
      </c>
      <c r="J10" s="5">
        <v>1</v>
      </c>
      <c r="K10" s="5">
        <v>10</v>
      </c>
      <c r="L10" s="5">
        <v>0</v>
      </c>
      <c r="M10" s="5">
        <v>0.75</v>
      </c>
      <c r="N10" s="5" t="s">
        <v>235</v>
      </c>
      <c r="O10" s="5">
        <v>1</v>
      </c>
    </row>
    <row r="11" spans="1:15" x14ac:dyDescent="0.4">
      <c r="A11" s="5">
        <v>3</v>
      </c>
      <c r="B11" s="5" t="s">
        <v>217</v>
      </c>
      <c r="C11" s="5">
        <v>8</v>
      </c>
      <c r="D11" s="5">
        <v>50</v>
      </c>
      <c r="E11" s="5">
        <v>1.6</v>
      </c>
      <c r="F11" s="5">
        <v>6</v>
      </c>
      <c r="G11" s="5">
        <v>0.4</v>
      </c>
      <c r="H11" s="5">
        <v>6</v>
      </c>
      <c r="I11" s="5">
        <v>0.5</v>
      </c>
      <c r="J11" s="5">
        <v>1</v>
      </c>
      <c r="K11" s="5">
        <v>45</v>
      </c>
      <c r="L11" s="5">
        <v>50</v>
      </c>
      <c r="M11" s="5">
        <v>1</v>
      </c>
      <c r="N11" s="5" t="s">
        <v>235</v>
      </c>
      <c r="O11" s="5">
        <v>2</v>
      </c>
    </row>
    <row r="12" spans="1:15" x14ac:dyDescent="0.4">
      <c r="A12" s="5">
        <v>4</v>
      </c>
      <c r="B12" s="5" t="s">
        <v>218</v>
      </c>
      <c r="C12" s="5">
        <v>3</v>
      </c>
      <c r="D12" s="5">
        <v>30</v>
      </c>
      <c r="E12" s="5">
        <v>1</v>
      </c>
      <c r="F12" s="5">
        <v>0.5</v>
      </c>
      <c r="G12" s="5">
        <v>0.1</v>
      </c>
      <c r="H12" s="5">
        <v>8</v>
      </c>
      <c r="I12" s="5">
        <v>1</v>
      </c>
      <c r="J12" s="5">
        <v>1</v>
      </c>
      <c r="K12" s="5">
        <v>15</v>
      </c>
      <c r="L12" s="5">
        <v>50</v>
      </c>
      <c r="M12" s="5">
        <v>1</v>
      </c>
      <c r="N12" s="5" t="s">
        <v>235</v>
      </c>
      <c r="O12" s="5">
        <v>3</v>
      </c>
    </row>
    <row r="13" spans="1:15" x14ac:dyDescent="0.4">
      <c r="A13" s="5">
        <v>5</v>
      </c>
      <c r="B13" s="5" t="s">
        <v>219</v>
      </c>
      <c r="C13" s="5">
        <v>8</v>
      </c>
      <c r="D13" s="5">
        <v>50</v>
      </c>
      <c r="E13" s="5">
        <v>10</v>
      </c>
      <c r="F13" s="5">
        <v>0.8</v>
      </c>
      <c r="G13" s="5">
        <v>0.25</v>
      </c>
      <c r="H13" s="5">
        <v>4</v>
      </c>
      <c r="I13" s="5">
        <v>0.5</v>
      </c>
      <c r="J13" s="5">
        <v>1</v>
      </c>
      <c r="K13" s="5">
        <v>35</v>
      </c>
      <c r="L13" s="5">
        <v>0</v>
      </c>
      <c r="M13" s="5">
        <v>0.5</v>
      </c>
      <c r="N13" s="5" t="s">
        <v>236</v>
      </c>
      <c r="O13" s="5">
        <v>2</v>
      </c>
    </row>
    <row r="14" spans="1:15" x14ac:dyDescent="0.4">
      <c r="A14" s="5">
        <v>6</v>
      </c>
      <c r="B14" s="5" t="s">
        <v>220</v>
      </c>
      <c r="C14" s="5">
        <v>6</v>
      </c>
      <c r="D14" s="5">
        <v>90</v>
      </c>
      <c r="E14" s="5">
        <v>8</v>
      </c>
      <c r="F14" s="5">
        <v>1</v>
      </c>
      <c r="G14" s="5">
        <v>0.35</v>
      </c>
      <c r="H14" s="5">
        <v>6</v>
      </c>
      <c r="I14" s="5">
        <v>0.5</v>
      </c>
      <c r="J14" s="5">
        <v>1</v>
      </c>
      <c r="K14" s="5">
        <v>55</v>
      </c>
      <c r="L14" s="5">
        <v>50</v>
      </c>
      <c r="M14" s="5">
        <v>0.75</v>
      </c>
      <c r="N14" s="5" t="s">
        <v>237</v>
      </c>
      <c r="O14" s="5">
        <v>3</v>
      </c>
    </row>
    <row r="15" spans="1:15" x14ac:dyDescent="0.4">
      <c r="A15" s="5">
        <v>7</v>
      </c>
      <c r="B15" s="5" t="s">
        <v>221</v>
      </c>
      <c r="C15" s="5">
        <v>6</v>
      </c>
      <c r="D15" s="5">
        <v>90</v>
      </c>
      <c r="E15" s="5">
        <v>7</v>
      </c>
      <c r="F15" s="5">
        <v>0.9</v>
      </c>
      <c r="G15" s="5">
        <v>0.5</v>
      </c>
      <c r="H15" s="5">
        <v>8</v>
      </c>
      <c r="I15" s="5">
        <v>0.5</v>
      </c>
      <c r="J15" s="5">
        <v>1</v>
      </c>
      <c r="K15" s="5">
        <v>75</v>
      </c>
      <c r="L15" s="5">
        <v>0</v>
      </c>
      <c r="M15" s="5">
        <v>0.75</v>
      </c>
      <c r="N15" s="5" t="s">
        <v>236</v>
      </c>
      <c r="O15" s="5">
        <v>0</v>
      </c>
    </row>
    <row r="16" spans="1:15" x14ac:dyDescent="0.4">
      <c r="A16" s="5">
        <v>8</v>
      </c>
      <c r="B16" s="5" t="s">
        <v>222</v>
      </c>
      <c r="C16" s="5">
        <v>3</v>
      </c>
      <c r="D16" s="5">
        <v>125</v>
      </c>
      <c r="E16" s="5">
        <v>6</v>
      </c>
      <c r="F16" s="5">
        <v>1.25</v>
      </c>
      <c r="G16" s="5">
        <v>0.35</v>
      </c>
      <c r="H16" s="5">
        <v>8</v>
      </c>
      <c r="I16" s="5">
        <v>0.5</v>
      </c>
      <c r="J16" s="5">
        <v>1</v>
      </c>
      <c r="K16" s="5">
        <v>110</v>
      </c>
      <c r="L16" s="5">
        <v>50</v>
      </c>
      <c r="M16" s="5">
        <v>1</v>
      </c>
      <c r="N16" s="5" t="s">
        <v>237</v>
      </c>
      <c r="O16" s="5">
        <v>2</v>
      </c>
    </row>
    <row r="17" spans="1:15" x14ac:dyDescent="0.4">
      <c r="A17" s="5">
        <v>9</v>
      </c>
      <c r="B17" s="5" t="s">
        <v>223</v>
      </c>
      <c r="C17" s="5">
        <v>1</v>
      </c>
      <c r="D17" s="5">
        <v>250</v>
      </c>
      <c r="E17" s="5">
        <v>2</v>
      </c>
      <c r="F17" s="5">
        <v>3.6</v>
      </c>
      <c r="G17" s="5">
        <v>0.6</v>
      </c>
      <c r="H17" s="5">
        <v>4</v>
      </c>
      <c r="I17" s="5">
        <v>1</v>
      </c>
      <c r="J17" s="5">
        <v>1</v>
      </c>
      <c r="K17" s="5">
        <v>110</v>
      </c>
      <c r="L17" s="5">
        <v>50</v>
      </c>
      <c r="M17" s="5">
        <v>1.25</v>
      </c>
      <c r="N17" s="5" t="s">
        <v>237</v>
      </c>
      <c r="O17" s="5">
        <v>1</v>
      </c>
    </row>
    <row r="18" spans="1:15" x14ac:dyDescent="0.4">
      <c r="A18" s="9">
        <v>10</v>
      </c>
      <c r="B18" s="9" t="s">
        <v>238</v>
      </c>
      <c r="C18" s="9">
        <v>3</v>
      </c>
      <c r="D18" s="9">
        <v>333333</v>
      </c>
      <c r="E18" s="9">
        <v>0</v>
      </c>
      <c r="F18" s="9">
        <v>0</v>
      </c>
      <c r="G18" s="9">
        <v>99</v>
      </c>
      <c r="H18" s="9">
        <v>0</v>
      </c>
      <c r="I18" s="9">
        <v>99</v>
      </c>
      <c r="J18" s="9">
        <v>0</v>
      </c>
      <c r="K18" s="9">
        <v>1000</v>
      </c>
      <c r="L18" s="9">
        <v>100</v>
      </c>
      <c r="M18" s="9">
        <v>1</v>
      </c>
      <c r="N18" s="9" t="s">
        <v>236</v>
      </c>
      <c r="O18" s="9">
        <v>1</v>
      </c>
    </row>
    <row r="19" spans="1:15" s="6" customFormat="1" x14ac:dyDescent="0.4"/>
    <row r="20" spans="1:15" s="6" customFormat="1" x14ac:dyDescent="0.4">
      <c r="A20" s="5"/>
      <c r="B20" s="5" t="s">
        <v>14</v>
      </c>
      <c r="C20" s="5" t="s">
        <v>6</v>
      </c>
      <c r="D20" s="5" t="s">
        <v>7</v>
      </c>
      <c r="E20" s="5" t="s">
        <v>12</v>
      </c>
      <c r="F20" s="5" t="s">
        <v>10</v>
      </c>
      <c r="G20" s="5" t="s">
        <v>11</v>
      </c>
      <c r="H20" s="5" t="s">
        <v>13</v>
      </c>
      <c r="I20" s="5" t="s">
        <v>15</v>
      </c>
      <c r="J20" s="5" t="s">
        <v>8</v>
      </c>
      <c r="K20" s="5" t="s">
        <v>9</v>
      </c>
      <c r="L20" s="5" t="s">
        <v>16</v>
      </c>
      <c r="M20" s="5" t="s">
        <v>18</v>
      </c>
      <c r="N20" s="5" t="s">
        <v>239</v>
      </c>
      <c r="O20" s="5" t="s">
        <v>240</v>
      </c>
    </row>
    <row r="21" spans="1:15" x14ac:dyDescent="0.4">
      <c r="A21" s="8">
        <v>9</v>
      </c>
      <c r="B21" s="5" t="s">
        <v>215</v>
      </c>
      <c r="C21" s="5">
        <v>9</v>
      </c>
      <c r="D21" s="5">
        <v>50</v>
      </c>
      <c r="E21" s="5">
        <v>3</v>
      </c>
      <c r="F21" s="5">
        <v>6</v>
      </c>
      <c r="G21" s="5">
        <v>0.5</v>
      </c>
      <c r="H21" s="5">
        <v>4</v>
      </c>
      <c r="I21" s="5">
        <v>0.5</v>
      </c>
      <c r="J21" s="5">
        <v>1</v>
      </c>
      <c r="K21" s="5">
        <v>5</v>
      </c>
      <c r="L21" s="5">
        <v>0</v>
      </c>
      <c r="M21" s="5">
        <v>0.5</v>
      </c>
      <c r="N21" s="5" t="s">
        <v>235</v>
      </c>
      <c r="O21" s="5">
        <v>0</v>
      </c>
    </row>
    <row r="22" spans="1:15" x14ac:dyDescent="0.4">
      <c r="A22" s="5">
        <v>10</v>
      </c>
      <c r="B22" s="5" t="s">
        <v>216</v>
      </c>
      <c r="C22" s="5">
        <v>4</v>
      </c>
      <c r="D22" s="5">
        <v>100</v>
      </c>
      <c r="E22" s="5">
        <v>2.5</v>
      </c>
      <c r="F22" s="5">
        <v>4.5</v>
      </c>
      <c r="G22" s="5">
        <v>0.45</v>
      </c>
      <c r="H22" s="5">
        <v>6</v>
      </c>
      <c r="I22" s="5">
        <v>0.5</v>
      </c>
      <c r="J22" s="5">
        <v>1</v>
      </c>
      <c r="K22" s="5">
        <v>10</v>
      </c>
      <c r="L22" s="5">
        <v>0</v>
      </c>
      <c r="M22" s="5">
        <v>0.75</v>
      </c>
      <c r="N22" s="5" t="s">
        <v>235</v>
      </c>
      <c r="O22" s="5">
        <v>1</v>
      </c>
    </row>
    <row r="23" spans="1:15" x14ac:dyDescent="0.4">
      <c r="A23" s="5">
        <v>11</v>
      </c>
      <c r="B23" s="5" t="s">
        <v>217</v>
      </c>
      <c r="C23" s="5">
        <v>8</v>
      </c>
      <c r="D23" s="5">
        <v>150</v>
      </c>
      <c r="E23" s="5">
        <v>1.6</v>
      </c>
      <c r="F23" s="5">
        <v>6</v>
      </c>
      <c r="G23" s="5">
        <v>0.4</v>
      </c>
      <c r="H23" s="5">
        <v>6</v>
      </c>
      <c r="I23" s="5">
        <v>0.5</v>
      </c>
      <c r="J23" s="5">
        <v>1</v>
      </c>
      <c r="K23" s="5">
        <v>45</v>
      </c>
      <c r="L23" s="5">
        <v>50</v>
      </c>
      <c r="M23" s="5">
        <v>1</v>
      </c>
      <c r="N23" s="5" t="s">
        <v>235</v>
      </c>
      <c r="O23" s="5">
        <v>2</v>
      </c>
    </row>
    <row r="24" spans="1:15" x14ac:dyDescent="0.4">
      <c r="A24" s="5">
        <v>12</v>
      </c>
      <c r="B24" s="5" t="s">
        <v>218</v>
      </c>
      <c r="C24" s="5">
        <v>3</v>
      </c>
      <c r="D24" s="5">
        <v>200</v>
      </c>
      <c r="E24" s="5">
        <v>1</v>
      </c>
      <c r="F24" s="5">
        <v>0.5</v>
      </c>
      <c r="G24" s="5">
        <v>0.1</v>
      </c>
      <c r="H24" s="5">
        <v>8</v>
      </c>
      <c r="I24" s="5">
        <v>1</v>
      </c>
      <c r="J24" s="5">
        <v>1</v>
      </c>
      <c r="K24" s="5">
        <v>15</v>
      </c>
      <c r="L24" s="5">
        <v>50</v>
      </c>
      <c r="M24" s="5">
        <v>1</v>
      </c>
      <c r="N24" s="5" t="s">
        <v>235</v>
      </c>
      <c r="O24" s="5">
        <v>3</v>
      </c>
    </row>
    <row r="25" spans="1:15" x14ac:dyDescent="0.4">
      <c r="A25" s="5">
        <v>13</v>
      </c>
      <c r="B25" s="5" t="s">
        <v>219</v>
      </c>
      <c r="C25" s="5">
        <v>8</v>
      </c>
      <c r="D25" s="5">
        <v>100</v>
      </c>
      <c r="E25" s="5">
        <v>10</v>
      </c>
      <c r="F25" s="5">
        <v>0.8</v>
      </c>
      <c r="G25" s="5">
        <v>0.25</v>
      </c>
      <c r="H25" s="5">
        <v>4</v>
      </c>
      <c r="I25" s="5">
        <v>0.5</v>
      </c>
      <c r="J25" s="5">
        <v>1</v>
      </c>
      <c r="K25" s="5">
        <v>35</v>
      </c>
      <c r="L25" s="5">
        <v>0</v>
      </c>
      <c r="M25" s="5">
        <v>0.5</v>
      </c>
      <c r="N25" s="5" t="s">
        <v>236</v>
      </c>
      <c r="O25" s="5">
        <v>2</v>
      </c>
    </row>
    <row r="26" spans="1:15" x14ac:dyDescent="0.4">
      <c r="A26" s="5">
        <v>14</v>
      </c>
      <c r="B26" s="5" t="s">
        <v>220</v>
      </c>
      <c r="C26" s="5">
        <v>6</v>
      </c>
      <c r="D26" s="5">
        <v>120</v>
      </c>
      <c r="E26" s="5">
        <v>8</v>
      </c>
      <c r="F26" s="5">
        <v>1</v>
      </c>
      <c r="G26" s="5">
        <v>0.35</v>
      </c>
      <c r="H26" s="5">
        <v>6</v>
      </c>
      <c r="I26" s="5">
        <v>0.5</v>
      </c>
      <c r="J26" s="5">
        <v>1</v>
      </c>
      <c r="K26" s="5">
        <v>55</v>
      </c>
      <c r="L26" s="5">
        <v>50</v>
      </c>
      <c r="M26" s="5">
        <v>0.75</v>
      </c>
      <c r="N26" s="5" t="s">
        <v>237</v>
      </c>
      <c r="O26" s="5">
        <v>3</v>
      </c>
    </row>
    <row r="27" spans="1:15" x14ac:dyDescent="0.4">
      <c r="A27" s="5">
        <v>15</v>
      </c>
      <c r="B27" s="5" t="s">
        <v>221</v>
      </c>
      <c r="C27" s="5">
        <v>6</v>
      </c>
      <c r="D27" s="5">
        <v>140</v>
      </c>
      <c r="E27" s="5">
        <v>7</v>
      </c>
      <c r="F27" s="5">
        <v>0.9</v>
      </c>
      <c r="G27" s="5">
        <v>0.5</v>
      </c>
      <c r="H27" s="5">
        <v>8</v>
      </c>
      <c r="I27" s="5">
        <v>0.5</v>
      </c>
      <c r="J27" s="5">
        <v>1</v>
      </c>
      <c r="K27" s="5">
        <v>75</v>
      </c>
      <c r="L27" s="5">
        <v>0</v>
      </c>
      <c r="M27" s="5">
        <v>0.75</v>
      </c>
      <c r="N27" s="5" t="s">
        <v>236</v>
      </c>
      <c r="O27" s="5">
        <v>0</v>
      </c>
    </row>
    <row r="28" spans="1:15" x14ac:dyDescent="0.4">
      <c r="A28" s="5">
        <v>16</v>
      </c>
      <c r="B28" s="5" t="s">
        <v>222</v>
      </c>
      <c r="C28" s="5">
        <v>3</v>
      </c>
      <c r="D28" s="5">
        <v>180</v>
      </c>
      <c r="E28" s="5">
        <v>6</v>
      </c>
      <c r="F28" s="5">
        <v>1.25</v>
      </c>
      <c r="G28" s="5">
        <v>0.35</v>
      </c>
      <c r="H28" s="5">
        <v>8</v>
      </c>
      <c r="I28" s="5">
        <v>0.5</v>
      </c>
      <c r="J28" s="5">
        <v>1</v>
      </c>
      <c r="K28" s="5">
        <v>110</v>
      </c>
      <c r="L28" s="5">
        <v>50</v>
      </c>
      <c r="M28" s="5">
        <v>1</v>
      </c>
      <c r="N28" s="5" t="s">
        <v>237</v>
      </c>
      <c r="O28" s="5">
        <v>2</v>
      </c>
    </row>
    <row r="29" spans="1:15" x14ac:dyDescent="0.4">
      <c r="A29" s="5">
        <v>17</v>
      </c>
      <c r="B29" s="5" t="s">
        <v>223</v>
      </c>
      <c r="C29" s="5">
        <v>1</v>
      </c>
      <c r="D29" s="5">
        <v>250</v>
      </c>
      <c r="E29" s="5">
        <v>2</v>
      </c>
      <c r="F29" s="5">
        <v>3.6</v>
      </c>
      <c r="G29" s="5">
        <v>0.6</v>
      </c>
      <c r="H29" s="5">
        <v>4</v>
      </c>
      <c r="I29" s="5">
        <v>1</v>
      </c>
      <c r="J29" s="5">
        <v>1</v>
      </c>
      <c r="K29" s="5">
        <v>110</v>
      </c>
      <c r="L29" s="5">
        <v>50</v>
      </c>
      <c r="M29" s="5">
        <v>1.25</v>
      </c>
      <c r="N29" s="5" t="s">
        <v>237</v>
      </c>
      <c r="O29" s="5">
        <v>1</v>
      </c>
    </row>
    <row r="30" spans="1:15" x14ac:dyDescent="0.4">
      <c r="A30" s="6"/>
      <c r="B30" s="6"/>
      <c r="C30" s="6"/>
      <c r="D30" s="6"/>
      <c r="E30" s="6"/>
      <c r="F30" s="6"/>
      <c r="G30" s="6"/>
      <c r="H30" s="6"/>
      <c r="I30" s="6"/>
      <c r="J30" s="6"/>
      <c r="K30" s="6"/>
      <c r="L30" s="6"/>
      <c r="M30" s="6"/>
      <c r="N30" s="6"/>
    </row>
    <row r="31" spans="1:15" x14ac:dyDescent="0.4">
      <c r="A31" s="6"/>
      <c r="B31" s="6"/>
      <c r="C31" s="6"/>
      <c r="D31" s="6"/>
      <c r="E31" s="6"/>
      <c r="F31" s="6"/>
      <c r="G31" s="6"/>
      <c r="H31" s="6"/>
      <c r="I31" s="6"/>
      <c r="J31" s="6"/>
      <c r="K31" s="6"/>
      <c r="L31" s="6"/>
      <c r="M31" s="6"/>
      <c r="N31" s="6"/>
    </row>
    <row r="32" spans="1:15" x14ac:dyDescent="0.4">
      <c r="A32" t="s">
        <v>123</v>
      </c>
    </row>
    <row r="33" spans="1:1" x14ac:dyDescent="0.4">
      <c r="A33" t="s">
        <v>49</v>
      </c>
    </row>
    <row r="34" spans="1:1" x14ac:dyDescent="0.4">
      <c r="A34" t="s">
        <v>50</v>
      </c>
    </row>
    <row r="35" spans="1:1" x14ac:dyDescent="0.4">
      <c r="A35" t="s">
        <v>51</v>
      </c>
    </row>
    <row r="36" spans="1:1" x14ac:dyDescent="0.4">
      <c r="A36" t="s">
        <v>59</v>
      </c>
    </row>
    <row r="37" spans="1:1" x14ac:dyDescent="0.4">
      <c r="A37" t="s">
        <v>60</v>
      </c>
    </row>
    <row r="39" spans="1:1" x14ac:dyDescent="0.4">
      <c r="A39" t="s">
        <v>52</v>
      </c>
    </row>
    <row r="40" spans="1:1" x14ac:dyDescent="0.4">
      <c r="A40" t="s">
        <v>53</v>
      </c>
    </row>
    <row r="41" spans="1:1" x14ac:dyDescent="0.4">
      <c r="A41" t="s">
        <v>57</v>
      </c>
    </row>
    <row r="42" spans="1:1" x14ac:dyDescent="0.4">
      <c r="A42" t="s">
        <v>58</v>
      </c>
    </row>
    <row r="44" spans="1:1" x14ac:dyDescent="0.4">
      <c r="A44" t="s">
        <v>183</v>
      </c>
    </row>
    <row r="45" spans="1:1" x14ac:dyDescent="0.4">
      <c r="A45" t="s">
        <v>184</v>
      </c>
    </row>
    <row r="49" spans="1:16" x14ac:dyDescent="0.4">
      <c r="A49" t="s">
        <v>56</v>
      </c>
    </row>
    <row r="50" spans="1:16" x14ac:dyDescent="0.4">
      <c r="A50" s="5" t="s">
        <v>14</v>
      </c>
      <c r="B50" s="5" t="s">
        <v>54</v>
      </c>
      <c r="C50" s="5"/>
      <c r="D50" s="5" t="s">
        <v>7</v>
      </c>
      <c r="E50" s="5" t="s">
        <v>12</v>
      </c>
      <c r="F50" s="5" t="s">
        <v>10</v>
      </c>
      <c r="G50" s="5" t="s">
        <v>11</v>
      </c>
      <c r="H50" s="5" t="s">
        <v>8</v>
      </c>
      <c r="I50" s="5" t="s">
        <v>9</v>
      </c>
      <c r="J50" s="5" t="s">
        <v>16</v>
      </c>
      <c r="K50" s="5" t="s">
        <v>18</v>
      </c>
      <c r="O50" t="s">
        <v>157</v>
      </c>
    </row>
    <row r="51" spans="1:16" x14ac:dyDescent="0.4">
      <c r="A51" s="5">
        <v>9</v>
      </c>
      <c r="B51" s="5">
        <v>1</v>
      </c>
      <c r="C51" s="5" t="s">
        <v>27</v>
      </c>
      <c r="D51" s="5">
        <v>9000</v>
      </c>
      <c r="E51" s="5">
        <v>40</v>
      </c>
      <c r="F51" s="5">
        <v>2</v>
      </c>
      <c r="G51" s="5">
        <v>0.4</v>
      </c>
      <c r="H51" s="5">
        <v>15</v>
      </c>
      <c r="I51" s="5">
        <v>15</v>
      </c>
      <c r="J51" s="5">
        <v>100</v>
      </c>
      <c r="K51" s="5">
        <v>1.2</v>
      </c>
      <c r="M51" s="5">
        <v>3000</v>
      </c>
      <c r="O51" t="s">
        <v>161</v>
      </c>
    </row>
    <row r="52" spans="1:16" x14ac:dyDescent="0.4">
      <c r="A52" s="5">
        <v>10</v>
      </c>
      <c r="B52" s="5">
        <v>2</v>
      </c>
      <c r="C52" s="5" t="s">
        <v>34</v>
      </c>
      <c r="D52" s="5">
        <v>15000</v>
      </c>
      <c r="E52" s="5">
        <v>36</v>
      </c>
      <c r="F52" s="5">
        <v>2</v>
      </c>
      <c r="G52" s="5">
        <v>0.5</v>
      </c>
      <c r="H52" s="5">
        <v>17</v>
      </c>
      <c r="I52" s="5">
        <v>36</v>
      </c>
      <c r="J52" s="5">
        <v>100</v>
      </c>
      <c r="K52" s="5">
        <v>1.6</v>
      </c>
      <c r="M52" s="5">
        <v>5000</v>
      </c>
      <c r="O52" t="s">
        <v>159</v>
      </c>
    </row>
    <row r="53" spans="1:16" x14ac:dyDescent="0.4">
      <c r="A53" s="5">
        <v>11</v>
      </c>
      <c r="B53" s="5">
        <v>3</v>
      </c>
      <c r="C53" s="5" t="s">
        <v>28</v>
      </c>
      <c r="D53" s="5">
        <v>21000</v>
      </c>
      <c r="E53" s="5">
        <v>32</v>
      </c>
      <c r="F53" s="5">
        <v>2</v>
      </c>
      <c r="G53" s="5">
        <v>0.6</v>
      </c>
      <c r="H53" s="5">
        <v>19</v>
      </c>
      <c r="I53" s="5">
        <v>90</v>
      </c>
      <c r="J53" s="5">
        <v>100</v>
      </c>
      <c r="K53" s="5">
        <v>2.2000000000000002</v>
      </c>
      <c r="M53" s="5">
        <v>7000</v>
      </c>
      <c r="O53" t="s">
        <v>160</v>
      </c>
    </row>
    <row r="54" spans="1:16" x14ac:dyDescent="0.4">
      <c r="A54" s="5">
        <v>12</v>
      </c>
      <c r="B54" s="5">
        <v>4</v>
      </c>
      <c r="C54" s="5" t="s">
        <v>29</v>
      </c>
      <c r="D54" s="5">
        <v>27000</v>
      </c>
      <c r="E54" s="5">
        <v>29</v>
      </c>
      <c r="F54" s="5">
        <v>2</v>
      </c>
      <c r="G54" s="5">
        <v>0.7</v>
      </c>
      <c r="H54" s="5">
        <v>21</v>
      </c>
      <c r="I54" s="5">
        <v>223</v>
      </c>
      <c r="J54" s="5">
        <v>100</v>
      </c>
      <c r="K54" s="5">
        <v>3</v>
      </c>
      <c r="M54" s="5">
        <v>9000</v>
      </c>
      <c r="O54" t="s">
        <v>158</v>
      </c>
    </row>
    <row r="55" spans="1:16" x14ac:dyDescent="0.4">
      <c r="A55" s="5">
        <v>13</v>
      </c>
      <c r="B55" s="5">
        <v>5</v>
      </c>
      <c r="C55" s="5" t="s">
        <v>30</v>
      </c>
      <c r="D55" s="5">
        <v>33000</v>
      </c>
      <c r="E55" s="5">
        <v>26</v>
      </c>
      <c r="F55" s="5">
        <v>2</v>
      </c>
      <c r="G55" s="5">
        <v>0.8</v>
      </c>
      <c r="H55" s="5">
        <v>23</v>
      </c>
      <c r="I55" s="5">
        <v>550</v>
      </c>
      <c r="J55" s="5">
        <v>100</v>
      </c>
      <c r="K55" s="5">
        <v>4</v>
      </c>
      <c r="M55" s="5">
        <v>11000</v>
      </c>
      <c r="O55" t="s">
        <v>162</v>
      </c>
    </row>
    <row r="56" spans="1:16" x14ac:dyDescent="0.4">
      <c r="A56" s="5">
        <v>14</v>
      </c>
      <c r="B56" s="5">
        <v>6</v>
      </c>
      <c r="C56" s="5" t="s">
        <v>31</v>
      </c>
      <c r="D56" s="5">
        <v>42000</v>
      </c>
      <c r="E56" s="5">
        <v>23</v>
      </c>
      <c r="F56" s="5">
        <v>2</v>
      </c>
      <c r="G56" s="5">
        <v>0.9</v>
      </c>
      <c r="H56" s="5">
        <v>25</v>
      </c>
      <c r="I56" s="5">
        <v>1350</v>
      </c>
      <c r="J56" s="5">
        <v>100</v>
      </c>
      <c r="K56" s="5">
        <v>5.4</v>
      </c>
      <c r="M56" s="5">
        <v>14000</v>
      </c>
      <c r="O56" t="s">
        <v>163</v>
      </c>
    </row>
    <row r="57" spans="1:16" x14ac:dyDescent="0.4">
      <c r="A57" s="5">
        <v>15</v>
      </c>
      <c r="B57" s="5">
        <v>7</v>
      </c>
      <c r="C57" s="5" t="s">
        <v>32</v>
      </c>
      <c r="D57" s="5">
        <f>M57*3</f>
        <v>51000</v>
      </c>
      <c r="E57" s="5">
        <v>20</v>
      </c>
      <c r="F57" s="5">
        <v>2</v>
      </c>
      <c r="G57" s="5">
        <v>1</v>
      </c>
      <c r="H57" s="5">
        <v>27</v>
      </c>
      <c r="I57" s="5">
        <v>3300</v>
      </c>
      <c r="J57" s="5">
        <v>100</v>
      </c>
      <c r="K57" s="5">
        <v>7.2</v>
      </c>
      <c r="M57" s="5">
        <v>17000</v>
      </c>
    </row>
    <row r="58" spans="1:16" x14ac:dyDescent="0.4">
      <c r="A58" s="5">
        <v>16</v>
      </c>
      <c r="B58" s="5">
        <v>8</v>
      </c>
      <c r="C58" s="5" t="s">
        <v>33</v>
      </c>
      <c r="D58" s="5">
        <f t="shared" ref="D58:D60" si="0">M58*3</f>
        <v>60000</v>
      </c>
      <c r="E58" s="5">
        <v>18</v>
      </c>
      <c r="F58" s="5">
        <v>2</v>
      </c>
      <c r="G58" s="5">
        <v>1.2</v>
      </c>
      <c r="H58" s="5">
        <v>29</v>
      </c>
      <c r="I58" s="5">
        <v>8000</v>
      </c>
      <c r="J58" s="5">
        <v>100</v>
      </c>
      <c r="K58" s="5">
        <v>9</v>
      </c>
      <c r="M58" s="5">
        <v>20000</v>
      </c>
    </row>
    <row r="59" spans="1:16" x14ac:dyDescent="0.4">
      <c r="A59" s="5">
        <v>17</v>
      </c>
      <c r="B59" s="5">
        <v>9</v>
      </c>
      <c r="C59" s="5" t="s">
        <v>193</v>
      </c>
      <c r="D59" s="5">
        <f t="shared" si="0"/>
        <v>69000</v>
      </c>
      <c r="E59" s="5">
        <v>16</v>
      </c>
      <c r="F59" s="5">
        <v>2</v>
      </c>
      <c r="G59" s="5">
        <v>1.4</v>
      </c>
      <c r="H59" s="5">
        <v>31</v>
      </c>
      <c r="I59" s="5">
        <v>12700</v>
      </c>
      <c r="J59" s="5">
        <v>100</v>
      </c>
      <c r="K59" s="5">
        <v>10.8</v>
      </c>
      <c r="M59" s="5">
        <v>23000</v>
      </c>
      <c r="O59" t="s">
        <v>198</v>
      </c>
      <c r="P59">
        <v>500</v>
      </c>
    </row>
    <row r="60" spans="1:16" x14ac:dyDescent="0.4">
      <c r="A60" s="5">
        <v>18</v>
      </c>
      <c r="B60" s="5">
        <v>10</v>
      </c>
      <c r="C60" s="5" t="s">
        <v>194</v>
      </c>
      <c r="D60" s="5">
        <f t="shared" si="0"/>
        <v>78000</v>
      </c>
      <c r="E60" s="5">
        <v>14</v>
      </c>
      <c r="F60" s="5">
        <v>2</v>
      </c>
      <c r="G60" s="5">
        <v>1.6</v>
      </c>
      <c r="H60" s="5">
        <v>33</v>
      </c>
      <c r="I60" s="5">
        <v>17400</v>
      </c>
      <c r="J60" s="5">
        <v>100</v>
      </c>
      <c r="K60" s="5">
        <v>12.6</v>
      </c>
      <c r="M60" s="5">
        <v>26000</v>
      </c>
      <c r="P60">
        <f>P59*180</f>
        <v>90000</v>
      </c>
    </row>
    <row r="61" spans="1:16" x14ac:dyDescent="0.4">
      <c r="A61" s="5">
        <v>19</v>
      </c>
      <c r="B61" s="5">
        <v>11</v>
      </c>
      <c r="C61" s="5" t="s">
        <v>195</v>
      </c>
      <c r="D61" s="5">
        <v>100000</v>
      </c>
      <c r="E61" s="5">
        <v>12</v>
      </c>
      <c r="F61" s="5">
        <v>2</v>
      </c>
      <c r="G61" s="5">
        <v>1.8</v>
      </c>
      <c r="H61" s="5">
        <v>35</v>
      </c>
      <c r="I61" s="5">
        <v>22100</v>
      </c>
      <c r="J61" s="5">
        <v>100</v>
      </c>
      <c r="K61" s="5">
        <v>14.4</v>
      </c>
      <c r="M61" s="5">
        <v>29000</v>
      </c>
    </row>
    <row r="62" spans="1:16" x14ac:dyDescent="0.4">
      <c r="A62" s="5">
        <v>20</v>
      </c>
      <c r="B62" s="5">
        <v>12</v>
      </c>
      <c r="C62" s="5" t="s">
        <v>196</v>
      </c>
      <c r="D62" s="5">
        <v>200000</v>
      </c>
      <c r="E62" s="5">
        <v>10</v>
      </c>
      <c r="F62" s="5">
        <v>2</v>
      </c>
      <c r="G62" s="5">
        <v>2</v>
      </c>
      <c r="H62" s="5">
        <v>37</v>
      </c>
      <c r="I62" s="5">
        <v>26800</v>
      </c>
      <c r="J62" s="5">
        <v>100</v>
      </c>
      <c r="K62" s="5">
        <v>16.2</v>
      </c>
      <c r="M62" s="5">
        <v>32000</v>
      </c>
    </row>
    <row r="63" spans="1:16" x14ac:dyDescent="0.4">
      <c r="A63" s="5">
        <v>21</v>
      </c>
      <c r="B63" s="5">
        <v>13</v>
      </c>
      <c r="C63" s="5" t="s">
        <v>197</v>
      </c>
      <c r="D63" s="5">
        <v>300000</v>
      </c>
      <c r="E63" s="5">
        <v>8</v>
      </c>
      <c r="F63" s="5">
        <v>2</v>
      </c>
      <c r="G63" s="5">
        <v>2.2000000000000002</v>
      </c>
      <c r="H63" s="5">
        <v>39</v>
      </c>
      <c r="I63" s="5">
        <v>31500</v>
      </c>
      <c r="J63" s="5">
        <v>100</v>
      </c>
      <c r="K63" s="5">
        <v>18</v>
      </c>
      <c r="M63" s="5">
        <v>35000</v>
      </c>
    </row>
    <row r="66" spans="1:7" x14ac:dyDescent="0.4">
      <c r="A66" t="s">
        <v>192</v>
      </c>
      <c r="C66" t="s">
        <v>46</v>
      </c>
    </row>
    <row r="67" spans="1:7" x14ac:dyDescent="0.4">
      <c r="C67" t="s">
        <v>37</v>
      </c>
      <c r="D67" t="s">
        <v>39</v>
      </c>
    </row>
    <row r="68" spans="1:7" x14ac:dyDescent="0.4">
      <c r="A68">
        <v>1</v>
      </c>
      <c r="B68" t="s">
        <v>36</v>
      </c>
      <c r="C68" t="s">
        <v>40</v>
      </c>
      <c r="E68" s="1">
        <v>1</v>
      </c>
      <c r="G68" s="2" t="s">
        <v>43</v>
      </c>
    </row>
    <row r="69" spans="1:7" x14ac:dyDescent="0.4">
      <c r="B69" t="s">
        <v>190</v>
      </c>
    </row>
    <row r="71" spans="1:7" x14ac:dyDescent="0.4">
      <c r="A71">
        <v>2</v>
      </c>
      <c r="B71" t="s">
        <v>19</v>
      </c>
      <c r="C71" t="s">
        <v>38</v>
      </c>
      <c r="E71" s="1">
        <v>1</v>
      </c>
    </row>
    <row r="72" spans="1:7" x14ac:dyDescent="0.4">
      <c r="B72" t="s">
        <v>189</v>
      </c>
    </row>
    <row r="74" spans="1:7" x14ac:dyDescent="0.4">
      <c r="A74">
        <v>3</v>
      </c>
      <c r="B74" t="s">
        <v>41</v>
      </c>
      <c r="C74" t="s">
        <v>42</v>
      </c>
      <c r="E74" s="1">
        <v>1</v>
      </c>
    </row>
    <row r="75" spans="1:7" x14ac:dyDescent="0.4">
      <c r="B75" t="s">
        <v>191</v>
      </c>
    </row>
    <row r="77" spans="1:7" x14ac:dyDescent="0.4">
      <c r="B77" t="s">
        <v>164</v>
      </c>
    </row>
    <row r="78" spans="1:7" x14ac:dyDescent="0.4">
      <c r="B78" t="s">
        <v>165</v>
      </c>
    </row>
    <row r="79" spans="1:7" x14ac:dyDescent="0.4">
      <c r="B79" t="s">
        <v>166</v>
      </c>
    </row>
    <row r="80" spans="1:7" x14ac:dyDescent="0.4">
      <c r="B80" t="s">
        <v>167</v>
      </c>
    </row>
    <row r="81" spans="1:3" x14ac:dyDescent="0.4">
      <c r="B81" t="s">
        <v>168</v>
      </c>
    </row>
    <row r="83" spans="1:3" x14ac:dyDescent="0.4">
      <c r="A83">
        <v>4</v>
      </c>
      <c r="B83" t="s">
        <v>20</v>
      </c>
      <c r="C83" t="s">
        <v>169</v>
      </c>
    </row>
    <row r="84" spans="1:3" x14ac:dyDescent="0.4">
      <c r="B84" t="s">
        <v>185</v>
      </c>
      <c r="C84" s="3"/>
    </row>
    <row r="85" spans="1:3" x14ac:dyDescent="0.4">
      <c r="A85">
        <v>5</v>
      </c>
      <c r="B85" t="s">
        <v>35</v>
      </c>
      <c r="C85" t="s">
        <v>170</v>
      </c>
    </row>
    <row r="86" spans="1:3" x14ac:dyDescent="0.4">
      <c r="B86" t="s">
        <v>186</v>
      </c>
    </row>
    <row r="87" spans="1:3" x14ac:dyDescent="0.4">
      <c r="A87">
        <v>6</v>
      </c>
      <c r="B87" t="s">
        <v>44</v>
      </c>
      <c r="C87" t="s">
        <v>171</v>
      </c>
    </row>
    <row r="88" spans="1:3" x14ac:dyDescent="0.4">
      <c r="B88" t="s">
        <v>188</v>
      </c>
    </row>
    <row r="89" spans="1:3" x14ac:dyDescent="0.4">
      <c r="A89">
        <v>7</v>
      </c>
      <c r="B89" t="s">
        <v>45</v>
      </c>
      <c r="C89" t="s">
        <v>172</v>
      </c>
    </row>
    <row r="90" spans="1:3" x14ac:dyDescent="0.4">
      <c r="B90" t="s">
        <v>187</v>
      </c>
      <c r="C90" s="4"/>
    </row>
    <row r="93" spans="1:3" x14ac:dyDescent="0.4">
      <c r="A93" t="s">
        <v>61</v>
      </c>
    </row>
    <row r="94" spans="1:3" x14ac:dyDescent="0.4">
      <c r="A94" t="s">
        <v>116</v>
      </c>
    </row>
    <row r="95" spans="1:3" x14ac:dyDescent="0.4">
      <c r="A95">
        <v>1</v>
      </c>
      <c r="B95" t="s">
        <v>117</v>
      </c>
    </row>
    <row r="96" spans="1:3" x14ac:dyDescent="0.4">
      <c r="A96">
        <v>2</v>
      </c>
      <c r="B96" t="s">
        <v>119</v>
      </c>
    </row>
    <row r="97" spans="1:2" x14ac:dyDescent="0.4">
      <c r="A97">
        <v>3</v>
      </c>
      <c r="B97" t="s">
        <v>118</v>
      </c>
    </row>
    <row r="100" spans="1:2" x14ac:dyDescent="0.4">
      <c r="A100" t="s">
        <v>21</v>
      </c>
    </row>
    <row r="101" spans="1:2" x14ac:dyDescent="0.4">
      <c r="A101" t="s">
        <v>22</v>
      </c>
    </row>
    <row r="102" spans="1:2" x14ac:dyDescent="0.4">
      <c r="A102" t="s">
        <v>144</v>
      </c>
    </row>
    <row r="103" spans="1:2" x14ac:dyDescent="0.4">
      <c r="A103" t="s">
        <v>145</v>
      </c>
    </row>
    <row r="104" spans="1:2" x14ac:dyDescent="0.4">
      <c r="A104" t="s">
        <v>23</v>
      </c>
    </row>
    <row r="105" spans="1:2" x14ac:dyDescent="0.4">
      <c r="A105" t="s">
        <v>24</v>
      </c>
    </row>
    <row r="106" spans="1:2" x14ac:dyDescent="0.4">
      <c r="A106" t="s">
        <v>124</v>
      </c>
    </row>
    <row r="108" spans="1:2" x14ac:dyDescent="0.4">
      <c r="A108" t="s">
        <v>17</v>
      </c>
    </row>
    <row r="109" spans="1:2" x14ac:dyDescent="0.4">
      <c r="A109" t="s">
        <v>25</v>
      </c>
    </row>
    <row r="110" spans="1:2" x14ac:dyDescent="0.4">
      <c r="A110" t="s">
        <v>26</v>
      </c>
    </row>
    <row r="113" spans="1:1" x14ac:dyDescent="0.4">
      <c r="A113" t="s">
        <v>47</v>
      </c>
    </row>
    <row r="114" spans="1:1" x14ac:dyDescent="0.4">
      <c r="A114" t="s">
        <v>48</v>
      </c>
    </row>
    <row r="115" spans="1:1" x14ac:dyDescent="0.4">
      <c r="A115" t="s">
        <v>62</v>
      </c>
    </row>
    <row r="117" spans="1:1" x14ac:dyDescent="0.4">
      <c r="A117" t="s">
        <v>125</v>
      </c>
    </row>
    <row r="118" spans="1:1" x14ac:dyDescent="0.4">
      <c r="A118" t="s">
        <v>126</v>
      </c>
    </row>
    <row r="119" spans="1:1" x14ac:dyDescent="0.4">
      <c r="A119" t="s">
        <v>127</v>
      </c>
    </row>
    <row r="120" spans="1:1" x14ac:dyDescent="0.4">
      <c r="A120" t="s">
        <v>63</v>
      </c>
    </row>
    <row r="121" spans="1:1" x14ac:dyDescent="0.4">
      <c r="A121" t="s">
        <v>64</v>
      </c>
    </row>
    <row r="122" spans="1:1" x14ac:dyDescent="0.4">
      <c r="A122" t="s">
        <v>65</v>
      </c>
    </row>
    <row r="124" spans="1:1" x14ac:dyDescent="0.4">
      <c r="A124" t="s">
        <v>66</v>
      </c>
    </row>
    <row r="125" spans="1:1" x14ac:dyDescent="0.4">
      <c r="A125" t="s">
        <v>67</v>
      </c>
    </row>
    <row r="126" spans="1:1" x14ac:dyDescent="0.4">
      <c r="A126" t="s">
        <v>68</v>
      </c>
    </row>
    <row r="128" spans="1:1" x14ac:dyDescent="0.4">
      <c r="A128" t="s">
        <v>69</v>
      </c>
    </row>
    <row r="129" spans="1:1" x14ac:dyDescent="0.4">
      <c r="A129" t="s">
        <v>70</v>
      </c>
    </row>
    <row r="130" spans="1:1" x14ac:dyDescent="0.4">
      <c r="A130" t="s">
        <v>71</v>
      </c>
    </row>
    <row r="131" spans="1:1" x14ac:dyDescent="0.4">
      <c r="A131" t="s">
        <v>72</v>
      </c>
    </row>
    <row r="132" spans="1:1" x14ac:dyDescent="0.4">
      <c r="A132" t="s">
        <v>73</v>
      </c>
    </row>
    <row r="133" spans="1:1" x14ac:dyDescent="0.4">
      <c r="A133" t="s">
        <v>74</v>
      </c>
    </row>
    <row r="134" spans="1:1" x14ac:dyDescent="0.4">
      <c r="A134" t="s">
        <v>75</v>
      </c>
    </row>
    <row r="135" spans="1:1" x14ac:dyDescent="0.4">
      <c r="A135" t="s">
        <v>76</v>
      </c>
    </row>
    <row r="136" spans="1:1" x14ac:dyDescent="0.4">
      <c r="A136" t="s">
        <v>77</v>
      </c>
    </row>
    <row r="138" spans="1:1" x14ac:dyDescent="0.4">
      <c r="A138" t="s">
        <v>78</v>
      </c>
    </row>
    <row r="139" spans="1:1" x14ac:dyDescent="0.4">
      <c r="A139" t="s">
        <v>79</v>
      </c>
    </row>
    <row r="140" spans="1:1" x14ac:dyDescent="0.4">
      <c r="A140" t="s">
        <v>80</v>
      </c>
    </row>
    <row r="142" spans="1:1" x14ac:dyDescent="0.4">
      <c r="A142" t="s">
        <v>81</v>
      </c>
    </row>
    <row r="143" spans="1:1" x14ac:dyDescent="0.4">
      <c r="A143" t="s">
        <v>82</v>
      </c>
    </row>
    <row r="144" spans="1:1" x14ac:dyDescent="0.4">
      <c r="A144" t="s">
        <v>83</v>
      </c>
    </row>
    <row r="145" spans="1:12" x14ac:dyDescent="0.4">
      <c r="A145" t="s">
        <v>84</v>
      </c>
    </row>
    <row r="146" spans="1:12" x14ac:dyDescent="0.4">
      <c r="A146" t="s">
        <v>85</v>
      </c>
    </row>
    <row r="148" spans="1:12" x14ac:dyDescent="0.4">
      <c r="A148" t="s">
        <v>86</v>
      </c>
      <c r="F148" t="s">
        <v>120</v>
      </c>
      <c r="G148" t="s">
        <v>121</v>
      </c>
      <c r="H148" t="s">
        <v>122</v>
      </c>
    </row>
    <row r="149" spans="1:12" x14ac:dyDescent="0.4">
      <c r="A149" t="s">
        <v>98</v>
      </c>
      <c r="B149" t="s">
        <v>87</v>
      </c>
      <c r="F149">
        <v>139</v>
      </c>
      <c r="G149">
        <v>0</v>
      </c>
      <c r="H149">
        <v>0</v>
      </c>
      <c r="K149" t="s">
        <v>205</v>
      </c>
      <c r="L149" t="str">
        <f>K149&amp;"は、"&amp;K150&amp;"に強く"&amp;K153&amp;"に弱い。"</f>
        <v>赤い情熱は、紫の混沌に強く青い統制に弱い。</v>
      </c>
    </row>
    <row r="150" spans="1:12" x14ac:dyDescent="0.4">
      <c r="A150" t="s">
        <v>100</v>
      </c>
      <c r="B150" t="s">
        <v>91</v>
      </c>
      <c r="F150">
        <v>255</v>
      </c>
      <c r="H150">
        <v>255</v>
      </c>
      <c r="K150" t="s">
        <v>206</v>
      </c>
      <c r="L150" t="str">
        <f>K150&amp;"は、"&amp;K151&amp;"に強く"&amp;K149&amp;"に弱い。"</f>
        <v>紫の混沌は、緑の調和に強く赤い情熱に弱い。</v>
      </c>
    </row>
    <row r="151" spans="1:12" x14ac:dyDescent="0.4">
      <c r="A151" t="s">
        <v>101</v>
      </c>
      <c r="B151" t="s">
        <v>89</v>
      </c>
      <c r="G151">
        <v>168</v>
      </c>
      <c r="H151">
        <v>107</v>
      </c>
      <c r="K151" t="s">
        <v>207</v>
      </c>
      <c r="L151" t="str">
        <f t="shared" ref="L151:L152" si="1">K151&amp;"は、"&amp;K152&amp;"に強く"&amp;K150&amp;"に弱い。"</f>
        <v>緑の調和は、黄色の犠牲に強く紫の混沌に弱い。</v>
      </c>
    </row>
    <row r="152" spans="1:12" x14ac:dyDescent="0.4">
      <c r="A152" t="s">
        <v>108</v>
      </c>
      <c r="B152" t="s">
        <v>90</v>
      </c>
      <c r="F152">
        <v>255</v>
      </c>
      <c r="G152">
        <v>191</v>
      </c>
      <c r="K152" t="s">
        <v>208</v>
      </c>
      <c r="L152" t="str">
        <f t="shared" si="1"/>
        <v>黄色の犠牲は、青い統制に強く緑の調和に弱い。</v>
      </c>
    </row>
    <row r="153" spans="1:12" x14ac:dyDescent="0.4">
      <c r="A153" t="s">
        <v>99</v>
      </c>
      <c r="B153" t="s">
        <v>88</v>
      </c>
      <c r="F153">
        <v>65</v>
      </c>
      <c r="G153">
        <v>105</v>
      </c>
      <c r="H153">
        <v>225</v>
      </c>
      <c r="K153" t="s">
        <v>209</v>
      </c>
      <c r="L153" t="str">
        <f>K153&amp;"は、"&amp;K149&amp;"に強く"&amp;K152&amp;"に弱い。"</f>
        <v>青い統制は、赤い情熱に強く黄色の犠牲に弱い。</v>
      </c>
    </row>
    <row r="155" spans="1:12" x14ac:dyDescent="0.4">
      <c r="A155" t="s">
        <v>92</v>
      </c>
      <c r="L155" t="s">
        <v>210</v>
      </c>
    </row>
    <row r="156" spans="1:12" x14ac:dyDescent="0.4">
      <c r="A156" t="s">
        <v>93</v>
      </c>
      <c r="L156" t="s">
        <v>211</v>
      </c>
    </row>
    <row r="157" spans="1:12" x14ac:dyDescent="0.4">
      <c r="A157" t="s">
        <v>94</v>
      </c>
      <c r="L157" t="s">
        <v>212</v>
      </c>
    </row>
    <row r="158" spans="1:12" x14ac:dyDescent="0.4">
      <c r="A158" t="s">
        <v>95</v>
      </c>
      <c r="L158" t="s">
        <v>213</v>
      </c>
    </row>
    <row r="159" spans="1:12" x14ac:dyDescent="0.4">
      <c r="A159" t="s">
        <v>96</v>
      </c>
      <c r="L159" t="s">
        <v>214</v>
      </c>
    </row>
    <row r="160" spans="1:12" x14ac:dyDescent="0.4">
      <c r="A160" t="s">
        <v>97</v>
      </c>
    </row>
    <row r="162" spans="1:13" x14ac:dyDescent="0.4">
      <c r="A162" t="s">
        <v>102</v>
      </c>
    </row>
    <row r="163" spans="1:13" x14ac:dyDescent="0.4">
      <c r="A163" t="s">
        <v>112</v>
      </c>
      <c r="H163" t="s">
        <v>113</v>
      </c>
    </row>
    <row r="164" spans="1:13" x14ac:dyDescent="0.4">
      <c r="A164" s="5"/>
      <c r="B164" s="5" t="s">
        <v>103</v>
      </c>
      <c r="C164" s="5" t="s">
        <v>104</v>
      </c>
      <c r="D164" s="5" t="s">
        <v>105</v>
      </c>
      <c r="E164" s="5" t="s">
        <v>106</v>
      </c>
      <c r="F164" s="5" t="s">
        <v>107</v>
      </c>
      <c r="H164" s="5"/>
      <c r="I164" s="5" t="s">
        <v>103</v>
      </c>
      <c r="J164" s="5" t="s">
        <v>104</v>
      </c>
      <c r="K164" s="5" t="s">
        <v>105</v>
      </c>
      <c r="L164" s="5" t="s">
        <v>106</v>
      </c>
      <c r="M164" s="5" t="s">
        <v>107</v>
      </c>
    </row>
    <row r="165" spans="1:13" x14ac:dyDescent="0.4">
      <c r="A165" s="5" t="s">
        <v>98</v>
      </c>
      <c r="B165" s="5">
        <v>100</v>
      </c>
      <c r="C165" s="5">
        <v>75</v>
      </c>
      <c r="D165" s="5">
        <v>100</v>
      </c>
      <c r="E165" s="5">
        <v>100</v>
      </c>
      <c r="F165" s="5">
        <v>125</v>
      </c>
      <c r="H165" s="5" t="s">
        <v>98</v>
      </c>
      <c r="I165" s="5">
        <v>30</v>
      </c>
      <c r="J165" s="5">
        <v>5</v>
      </c>
      <c r="K165" s="5">
        <v>30</v>
      </c>
      <c r="L165" s="5">
        <v>30</v>
      </c>
      <c r="M165" s="5">
        <v>55</v>
      </c>
    </row>
    <row r="166" spans="1:13" x14ac:dyDescent="0.4">
      <c r="A166" s="5" t="s">
        <v>100</v>
      </c>
      <c r="B166" s="5">
        <v>125</v>
      </c>
      <c r="C166" s="5">
        <v>100</v>
      </c>
      <c r="D166" s="5">
        <v>75</v>
      </c>
      <c r="E166" s="5">
        <v>100</v>
      </c>
      <c r="F166" s="5">
        <v>100</v>
      </c>
      <c r="H166" s="5" t="s">
        <v>100</v>
      </c>
      <c r="I166" s="5">
        <v>55</v>
      </c>
      <c r="J166" s="5">
        <v>30</v>
      </c>
      <c r="K166" s="5">
        <v>5</v>
      </c>
      <c r="L166" s="5">
        <v>30</v>
      </c>
      <c r="M166" s="5">
        <v>30</v>
      </c>
    </row>
    <row r="167" spans="1:13" x14ac:dyDescent="0.4">
      <c r="A167" s="5" t="s">
        <v>101</v>
      </c>
      <c r="B167" s="5">
        <v>100</v>
      </c>
      <c r="C167" s="5">
        <v>125</v>
      </c>
      <c r="D167" s="5">
        <v>100</v>
      </c>
      <c r="E167" s="5">
        <v>75</v>
      </c>
      <c r="F167" s="5">
        <v>100</v>
      </c>
      <c r="H167" s="5" t="s">
        <v>101</v>
      </c>
      <c r="I167" s="5">
        <v>30</v>
      </c>
      <c r="J167" s="5">
        <v>55</v>
      </c>
      <c r="K167" s="5">
        <v>30</v>
      </c>
      <c r="L167" s="5">
        <v>5</v>
      </c>
      <c r="M167" s="5">
        <v>30</v>
      </c>
    </row>
    <row r="168" spans="1:13" x14ac:dyDescent="0.4">
      <c r="A168" s="5" t="s">
        <v>108</v>
      </c>
      <c r="B168" s="5">
        <v>100</v>
      </c>
      <c r="C168" s="5">
        <v>100</v>
      </c>
      <c r="D168" s="5">
        <v>125</v>
      </c>
      <c r="E168" s="5">
        <v>100</v>
      </c>
      <c r="F168" s="5">
        <v>75</v>
      </c>
      <c r="H168" s="5" t="s">
        <v>108</v>
      </c>
      <c r="I168" s="5">
        <v>30</v>
      </c>
      <c r="J168" s="5">
        <v>30</v>
      </c>
      <c r="K168" s="5">
        <v>55</v>
      </c>
      <c r="L168" s="5">
        <v>30</v>
      </c>
      <c r="M168" s="5">
        <v>5</v>
      </c>
    </row>
    <row r="169" spans="1:13" x14ac:dyDescent="0.4">
      <c r="A169" s="5" t="s">
        <v>99</v>
      </c>
      <c r="B169" s="5">
        <v>75</v>
      </c>
      <c r="C169" s="5">
        <v>100</v>
      </c>
      <c r="D169" s="5">
        <v>100</v>
      </c>
      <c r="E169" s="5">
        <v>125</v>
      </c>
      <c r="F169" s="5">
        <v>100</v>
      </c>
      <c r="H169" s="5" t="s">
        <v>99</v>
      </c>
      <c r="I169" s="5">
        <v>5</v>
      </c>
      <c r="J169" s="5">
        <v>30</v>
      </c>
      <c r="K169" s="5">
        <v>30</v>
      </c>
      <c r="L169" s="5">
        <v>55</v>
      </c>
      <c r="M169" s="5">
        <v>30</v>
      </c>
    </row>
    <row r="171" spans="1:13" x14ac:dyDescent="0.4">
      <c r="A171" t="s">
        <v>109</v>
      </c>
      <c r="H171" t="s">
        <v>114</v>
      </c>
    </row>
    <row r="172" spans="1:13" x14ac:dyDescent="0.4">
      <c r="A172" t="s">
        <v>110</v>
      </c>
      <c r="H172" t="s">
        <v>115</v>
      </c>
    </row>
    <row r="173" spans="1:13" x14ac:dyDescent="0.4">
      <c r="A173" t="s">
        <v>111</v>
      </c>
    </row>
    <row r="175" spans="1:13" x14ac:dyDescent="0.4">
      <c r="A175" t="s">
        <v>128</v>
      </c>
    </row>
    <row r="176" spans="1:13" x14ac:dyDescent="0.4">
      <c r="A176" t="s">
        <v>129</v>
      </c>
    </row>
    <row r="177" spans="1:2" x14ac:dyDescent="0.4">
      <c r="A177" t="s">
        <v>130</v>
      </c>
    </row>
    <row r="178" spans="1:2" x14ac:dyDescent="0.4">
      <c r="A178" t="s">
        <v>131</v>
      </c>
    </row>
    <row r="180" spans="1:2" x14ac:dyDescent="0.4">
      <c r="A180" t="s">
        <v>141</v>
      </c>
    </row>
    <row r="181" spans="1:2" x14ac:dyDescent="0.4">
      <c r="A181" t="s">
        <v>138</v>
      </c>
    </row>
    <row r="182" spans="1:2" x14ac:dyDescent="0.4">
      <c r="A182" t="s">
        <v>132</v>
      </c>
    </row>
    <row r="183" spans="1:2" x14ac:dyDescent="0.4">
      <c r="A183" t="s">
        <v>143</v>
      </c>
    </row>
    <row r="184" spans="1:2" x14ac:dyDescent="0.4">
      <c r="A184" t="s">
        <v>135</v>
      </c>
    </row>
    <row r="185" spans="1:2" x14ac:dyDescent="0.4">
      <c r="A185" t="s">
        <v>140</v>
      </c>
    </row>
    <row r="186" spans="1:2" x14ac:dyDescent="0.4">
      <c r="A186" t="s">
        <v>134</v>
      </c>
      <c r="B186" t="s">
        <v>133</v>
      </c>
    </row>
    <row r="187" spans="1:2" x14ac:dyDescent="0.4">
      <c r="A187" t="s">
        <v>139</v>
      </c>
      <c r="B187" t="s">
        <v>137</v>
      </c>
    </row>
    <row r="188" spans="1:2" x14ac:dyDescent="0.4">
      <c r="A188" t="s">
        <v>136</v>
      </c>
      <c r="B188" t="s">
        <v>173</v>
      </c>
    </row>
    <row r="189" spans="1:2" x14ac:dyDescent="0.4">
      <c r="B189" t="s">
        <v>174</v>
      </c>
    </row>
    <row r="190" spans="1:2" x14ac:dyDescent="0.4">
      <c r="A190" t="s">
        <v>142</v>
      </c>
    </row>
    <row r="192" spans="1:2" x14ac:dyDescent="0.4">
      <c r="A192" t="s">
        <v>146</v>
      </c>
    </row>
    <row r="194" spans="1:1" x14ac:dyDescent="0.4">
      <c r="A194" t="s">
        <v>147</v>
      </c>
    </row>
    <row r="196" spans="1:1" x14ac:dyDescent="0.4">
      <c r="A196" t="s">
        <v>148</v>
      </c>
    </row>
    <row r="197" spans="1:1" x14ac:dyDescent="0.4">
      <c r="A197" t="s">
        <v>149</v>
      </c>
    </row>
    <row r="198" spans="1:1" x14ac:dyDescent="0.4">
      <c r="A198" t="s">
        <v>154</v>
      </c>
    </row>
    <row r="199" spans="1:1" x14ac:dyDescent="0.4">
      <c r="A199" t="s">
        <v>150</v>
      </c>
    </row>
    <row r="200" spans="1:1" x14ac:dyDescent="0.4">
      <c r="A200" t="s">
        <v>151</v>
      </c>
    </row>
    <row r="201" spans="1:1" x14ac:dyDescent="0.4">
      <c r="A201" t="s">
        <v>152</v>
      </c>
    </row>
    <row r="203" spans="1:1" x14ac:dyDescent="0.4">
      <c r="A203" t="s">
        <v>153</v>
      </c>
    </row>
    <row r="204" spans="1:1" x14ac:dyDescent="0.4">
      <c r="A204" t="s">
        <v>155</v>
      </c>
    </row>
    <row r="206" spans="1:1" x14ac:dyDescent="0.4">
      <c r="A206" t="s">
        <v>156</v>
      </c>
    </row>
    <row r="208" spans="1:1" x14ac:dyDescent="0.4">
      <c r="A208" t="s">
        <v>175</v>
      </c>
    </row>
    <row r="209" spans="1:1" x14ac:dyDescent="0.4">
      <c r="A209" t="s">
        <v>176</v>
      </c>
    </row>
    <row r="210" spans="1:1" x14ac:dyDescent="0.4">
      <c r="A210" t="s">
        <v>177</v>
      </c>
    </row>
    <row r="212" spans="1:1" x14ac:dyDescent="0.4">
      <c r="A212" t="s">
        <v>178</v>
      </c>
    </row>
    <row r="214" spans="1:1" x14ac:dyDescent="0.4">
      <c r="A214" t="s">
        <v>179</v>
      </c>
    </row>
    <row r="215" spans="1:1" x14ac:dyDescent="0.4">
      <c r="A215" t="s">
        <v>180</v>
      </c>
    </row>
    <row r="217" spans="1:1" x14ac:dyDescent="0.4">
      <c r="A217" t="s">
        <v>181</v>
      </c>
    </row>
    <row r="218" spans="1:1" x14ac:dyDescent="0.4">
      <c r="A218" t="s">
        <v>182</v>
      </c>
    </row>
    <row r="220" spans="1:1" x14ac:dyDescent="0.4">
      <c r="A220" t="s">
        <v>199</v>
      </c>
    </row>
    <row r="222" spans="1:1" x14ac:dyDescent="0.4">
      <c r="A222" t="s">
        <v>200</v>
      </c>
    </row>
    <row r="223" spans="1:1" x14ac:dyDescent="0.4">
      <c r="A223" t="s">
        <v>201</v>
      </c>
    </row>
    <row r="224" spans="1:1" x14ac:dyDescent="0.4">
      <c r="A224" t="s">
        <v>202</v>
      </c>
    </row>
    <row r="225" spans="1:1" x14ac:dyDescent="0.4">
      <c r="A225" t="s">
        <v>204</v>
      </c>
    </row>
    <row r="226" spans="1:1" x14ac:dyDescent="0.4">
      <c r="A226" t="s">
        <v>203</v>
      </c>
    </row>
  </sheetData>
  <phoneticPr fontId="1"/>
  <pageMargins left="0.7" right="0.7" top="0.75" bottom="0.75" header="0.3" footer="0.3"/>
  <pageSetup paperSize="9"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B4D95C-275B-4BAD-BDA9-118F535E1162}">
  <dimension ref="B2:B12"/>
  <sheetViews>
    <sheetView workbookViewId="0">
      <selection activeCell="K12" sqref="K12"/>
    </sheetView>
  </sheetViews>
  <sheetFormatPr defaultRowHeight="18.75" x14ac:dyDescent="0.4"/>
  <sheetData>
    <row r="2" spans="2:2" x14ac:dyDescent="0.4">
      <c r="B2" s="7" t="s">
        <v>224</v>
      </c>
    </row>
    <row r="3" spans="2:2" x14ac:dyDescent="0.4">
      <c r="B3" s="7" t="s">
        <v>225</v>
      </c>
    </row>
    <row r="4" spans="2:2" x14ac:dyDescent="0.4">
      <c r="B4" s="7" t="s">
        <v>226</v>
      </c>
    </row>
    <row r="5" spans="2:2" x14ac:dyDescent="0.4">
      <c r="B5" s="7" t="s">
        <v>227</v>
      </c>
    </row>
    <row r="6" spans="2:2" x14ac:dyDescent="0.4">
      <c r="B6" s="7" t="s">
        <v>228</v>
      </c>
    </row>
    <row r="7" spans="2:2" x14ac:dyDescent="0.4">
      <c r="B7" s="7" t="s">
        <v>229</v>
      </c>
    </row>
    <row r="8" spans="2:2" x14ac:dyDescent="0.4">
      <c r="B8" s="7" t="s">
        <v>230</v>
      </c>
    </row>
    <row r="9" spans="2:2" x14ac:dyDescent="0.4">
      <c r="B9" s="7" t="s">
        <v>231</v>
      </c>
    </row>
    <row r="10" spans="2:2" x14ac:dyDescent="0.4">
      <c r="B10" s="7" t="s">
        <v>232</v>
      </c>
    </row>
    <row r="11" spans="2:2" x14ac:dyDescent="0.4">
      <c r="B11" s="7" t="s">
        <v>233</v>
      </c>
    </row>
    <row r="12" spans="2:2" x14ac:dyDescent="0.4">
      <c r="B12" s="7" t="s">
        <v>234</v>
      </c>
    </row>
  </sheetData>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Sheet5</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裕 長沢</dc:creator>
  <cp:lastModifiedBy>裕 長沢</cp:lastModifiedBy>
  <dcterms:created xsi:type="dcterms:W3CDTF">2026-06-23T08:28:29Z</dcterms:created>
  <dcterms:modified xsi:type="dcterms:W3CDTF">2026-08-15T23:36:43Z</dcterms:modified>
</cp:coreProperties>
</file>