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user\.antigravity\game\files\DATA\"/>
    </mc:Choice>
  </mc:AlternateContent>
  <xr:revisionPtr revIDLastSave="0" documentId="13_ncr:1_{764542E2-FFAF-4CAF-8C74-A8976A79E542}" xr6:coauthVersionLast="47" xr6:coauthVersionMax="47" xr10:uidLastSave="{00000000-0000-0000-0000-000000000000}"/>
  <bookViews>
    <workbookView xWindow="780" yWindow="780" windowWidth="26205" windowHeight="14850" firstSheet="4" activeTab="11" xr2:uid="{6231C4C3-18AE-434C-A5BE-7A8D84F4A7B4}"/>
  </bookViews>
  <sheets>
    <sheet name="共通ﾃﾞｰﾀ" sheetId="9" r:id="rId1"/>
    <sheet name="メイン進行ルーチン" sheetId="10" r:id="rId2"/>
    <sheet name="tarot" sheetId="15" r:id="rId3"/>
    <sheet name="10紫苑" sheetId="4" r:id="rId4"/>
    <sheet name="15李乃果data" sheetId="2" r:id="rId5"/>
    <sheet name="12蒼樹" sheetId="6" r:id="rId6"/>
    <sheet name="9紅華" sheetId="7" r:id="rId7"/>
    <sheet name="4黄蘭" sheetId="8" r:id="rId8"/>
    <sheet name="9白蓮" sheetId="11" r:id="rId9"/>
    <sheet name="0ななよ" sheetId="13" r:id="rId10"/>
    <sheet name="4ノア" sheetId="14" r:id="rId11"/>
    <sheet name="009リフィエル" sheetId="18" r:id="rId12"/>
    <sheet name="010プロセル" sheetId="16" r:id="rId13"/>
    <sheet name="MKP" sheetId="19" r:id="rId14"/>
    <sheet name="行動ﾊﾟﾀｰﾝ" sheetId="20" r:id="rId15"/>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120" i="18" l="1"/>
  <c r="P119" i="18"/>
  <c r="P117" i="18"/>
  <c r="P116" i="18"/>
  <c r="P114" i="18"/>
  <c r="P113" i="18"/>
  <c r="P111" i="18"/>
  <c r="P110" i="18"/>
  <c r="P108" i="18"/>
  <c r="P107" i="18"/>
  <c r="P105" i="18"/>
  <c r="P104" i="18"/>
  <c r="P102" i="18"/>
  <c r="P101" i="18"/>
  <c r="P68" i="8"/>
  <c r="P71" i="8"/>
  <c r="P74" i="8"/>
  <c r="P77" i="8"/>
  <c r="P65" i="8"/>
  <c r="P62" i="8"/>
  <c r="P59" i="8"/>
  <c r="N45" i="8"/>
  <c r="N48" i="8"/>
  <c r="N51" i="8"/>
  <c r="N54" i="8"/>
  <c r="N42" i="8"/>
  <c r="N39" i="8"/>
  <c r="N36" i="8"/>
  <c r="P76" i="8"/>
  <c r="P73" i="8"/>
  <c r="P70" i="8"/>
  <c r="P67" i="8"/>
  <c r="P64" i="8"/>
  <c r="P61" i="8"/>
  <c r="P58" i="8"/>
  <c r="N54" i="7"/>
  <c r="N51" i="7"/>
  <c r="N48" i="7"/>
  <c r="N45" i="7"/>
  <c r="N42" i="7"/>
  <c r="N39" i="7"/>
  <c r="N36" i="7"/>
  <c r="N54" i="6"/>
  <c r="N51" i="6"/>
  <c r="N48" i="6"/>
  <c r="N45" i="6"/>
  <c r="N42" i="6"/>
  <c r="N39" i="6"/>
  <c r="N36" i="6"/>
  <c r="P77" i="7"/>
  <c r="P76" i="7"/>
  <c r="P74" i="7"/>
  <c r="P73" i="7"/>
  <c r="P71" i="7"/>
  <c r="P70" i="7"/>
  <c r="P68" i="7"/>
  <c r="P67" i="7"/>
  <c r="P65" i="7"/>
  <c r="P64" i="7"/>
  <c r="P62" i="7"/>
  <c r="P61" i="7"/>
  <c r="P59" i="7"/>
  <c r="P58" i="7"/>
  <c r="Q80" i="6"/>
  <c r="Q78" i="6"/>
  <c r="Q76" i="6"/>
  <c r="Q74" i="6"/>
  <c r="Q72" i="6"/>
  <c r="Q70" i="6"/>
  <c r="Q68" i="6"/>
  <c r="Q66" i="6"/>
  <c r="Q64" i="6"/>
  <c r="Q62" i="6"/>
  <c r="Q60" i="6"/>
  <c r="Q58" i="6"/>
  <c r="Q84" i="6"/>
  <c r="Q82" i="6"/>
</calcChain>
</file>

<file path=xl/sharedStrings.xml><?xml version="1.0" encoding="utf-8"?>
<sst xmlns="http://schemas.openxmlformats.org/spreadsheetml/2006/main" count="2352" uniqueCount="638">
  <si>
    <t>李乃果</t>
    <rPh sb="0" eb="1">
      <t>リ</t>
    </rPh>
    <rPh sb="1" eb="2">
      <t>ノ</t>
    </rPh>
    <rPh sb="2" eb="3">
      <t>カ</t>
    </rPh>
    <phoneticPr fontId="1"/>
  </si>
  <si>
    <t>基本生命力</t>
    <rPh sb="0" eb="2">
      <t>キホン</t>
    </rPh>
    <rPh sb="2" eb="5">
      <t>セイメイリョク</t>
    </rPh>
    <phoneticPr fontId="1"/>
  </si>
  <si>
    <t>レベルアップごとに元の値の5%上昇</t>
    <rPh sb="9" eb="10">
      <t>モト</t>
    </rPh>
    <rPh sb="11" eb="12">
      <t>アタイ</t>
    </rPh>
    <rPh sb="15" eb="17">
      <t>ジョウショウ</t>
    </rPh>
    <phoneticPr fontId="1"/>
  </si>
  <si>
    <t>基本精神力</t>
    <rPh sb="0" eb="2">
      <t>キホン</t>
    </rPh>
    <rPh sb="2" eb="5">
      <t>セイシンリョク</t>
    </rPh>
    <phoneticPr fontId="1"/>
  </si>
  <si>
    <t>基本攻撃力</t>
    <rPh sb="0" eb="2">
      <t>キホン</t>
    </rPh>
    <rPh sb="2" eb="5">
      <t>コウゲキリョク</t>
    </rPh>
    <phoneticPr fontId="1"/>
  </si>
  <si>
    <t>加入シナリオ</t>
    <rPh sb="0" eb="2">
      <t>カニュウ</t>
    </rPh>
    <phoneticPr fontId="1"/>
  </si>
  <si>
    <t>対応タロットカード</t>
    <rPh sb="0" eb="2">
      <t>タイオウ</t>
    </rPh>
    <phoneticPr fontId="1"/>
  </si>
  <si>
    <t>節制</t>
    <rPh sb="0" eb="2">
      <t>セッセイ</t>
    </rPh>
    <phoneticPr fontId="1"/>
  </si>
  <si>
    <t>立ち絵</t>
    <rPh sb="0" eb="1">
      <t>タ</t>
    </rPh>
    <rPh sb="2" eb="3">
      <t>エ</t>
    </rPh>
    <phoneticPr fontId="1"/>
  </si>
  <si>
    <t>005001.png</t>
    <phoneticPr fontId="1"/>
  </si>
  <si>
    <t>ミニキャラ</t>
    <phoneticPr fontId="1"/>
  </si>
  <si>
    <t>005002.png</t>
    <phoneticPr fontId="1"/>
  </si>
  <si>
    <t>武器グラフィック</t>
    <rPh sb="0" eb="2">
      <t>ブキ</t>
    </rPh>
    <phoneticPr fontId="1"/>
  </si>
  <si>
    <t>005003.png</t>
    <phoneticPr fontId="1"/>
  </si>
  <si>
    <t>レベル</t>
    <phoneticPr fontId="1"/>
  </si>
  <si>
    <t>種別</t>
    <rPh sb="0" eb="2">
      <t>シュベツ</t>
    </rPh>
    <phoneticPr fontId="1"/>
  </si>
  <si>
    <t>威力(攻撃力のXX%)</t>
    <rPh sb="0" eb="2">
      <t>イリョク</t>
    </rPh>
    <rPh sb="3" eb="6">
      <t>コウゲキリョク</t>
    </rPh>
    <phoneticPr fontId="1"/>
  </si>
  <si>
    <t>リロード</t>
    <phoneticPr fontId="1"/>
  </si>
  <si>
    <t>連続回数</t>
    <rPh sb="0" eb="2">
      <t>レンゾク</t>
    </rPh>
    <rPh sb="2" eb="4">
      <t>カイスウ</t>
    </rPh>
    <phoneticPr fontId="1"/>
  </si>
  <si>
    <t>弾丸速度</t>
    <rPh sb="0" eb="4">
      <t>ダンガンソクド</t>
    </rPh>
    <phoneticPr fontId="1"/>
  </si>
  <si>
    <t>射程(m)(この距離に敵が来ると攻撃する)</t>
    <rPh sb="0" eb="2">
      <t>シャテイ</t>
    </rPh>
    <rPh sb="8" eb="10">
      <t>キョリ</t>
    </rPh>
    <rPh sb="11" eb="12">
      <t>テキ</t>
    </rPh>
    <rPh sb="13" eb="14">
      <t>ク</t>
    </rPh>
    <rPh sb="16" eb="18">
      <t>コウゲキ</t>
    </rPh>
    <phoneticPr fontId="1"/>
  </si>
  <si>
    <t>ノックバック(1kgの敵がXXm押し返される)</t>
    <rPh sb="11" eb="12">
      <t>テキ</t>
    </rPh>
    <rPh sb="16" eb="17">
      <t>オ</t>
    </rPh>
    <rPh sb="18" eb="19">
      <t>カエ</t>
    </rPh>
    <phoneticPr fontId="1"/>
  </si>
  <si>
    <t>遠距離</t>
    <rPh sb="0" eb="3">
      <t>エンキョリ</t>
    </rPh>
    <phoneticPr fontId="1"/>
  </si>
  <si>
    <t>光の矢</t>
    <rPh sb="0" eb="1">
      <t>ヒカリ</t>
    </rPh>
    <rPh sb="2" eb="3">
      <t>ヤ</t>
    </rPh>
    <phoneticPr fontId="1"/>
  </si>
  <si>
    <t>リロード時間。</t>
    <rPh sb="4" eb="6">
      <t>ジカン</t>
    </rPh>
    <phoneticPr fontId="1"/>
  </si>
  <si>
    <t>近距離</t>
    <rPh sb="0" eb="3">
      <t>キンキョリ</t>
    </rPh>
    <phoneticPr fontId="1"/>
  </si>
  <si>
    <t>雑魚敵を貫通しない矢を2本同時に発射する。2本の成す角度は10°</t>
    <rPh sb="0" eb="3">
      <t>ザコテキ</t>
    </rPh>
    <rPh sb="4" eb="6">
      <t>カンツウ</t>
    </rPh>
    <rPh sb="9" eb="10">
      <t>ヤ</t>
    </rPh>
    <rPh sb="12" eb="13">
      <t>ホン</t>
    </rPh>
    <rPh sb="13" eb="15">
      <t>ドウジ</t>
    </rPh>
    <rPh sb="16" eb="18">
      <t>ハッシャ</t>
    </rPh>
    <rPh sb="22" eb="23">
      <t>ホン</t>
    </rPh>
    <rPh sb="24" eb="25">
      <t>ナ</t>
    </rPh>
    <rPh sb="26" eb="28">
      <t>カクド</t>
    </rPh>
    <phoneticPr fontId="1"/>
  </si>
  <si>
    <t>キックしながらのリロード</t>
    <phoneticPr fontId="1"/>
  </si>
  <si>
    <t>射程内に敵がいれば1体を弾き飛ばす。または弾を1発消す</t>
    <rPh sb="0" eb="2">
      <t>シャテイ</t>
    </rPh>
    <rPh sb="2" eb="3">
      <t>ナイ</t>
    </rPh>
    <rPh sb="4" eb="5">
      <t>テキ</t>
    </rPh>
    <rPh sb="10" eb="11">
      <t>タイ</t>
    </rPh>
    <rPh sb="12" eb="13">
      <t>ハジ</t>
    </rPh>
    <rPh sb="14" eb="15">
      <t>ト</t>
    </rPh>
    <rPh sb="21" eb="22">
      <t>タマ</t>
    </rPh>
    <rPh sb="24" eb="25">
      <t>ハツ</t>
    </rPh>
    <rPh sb="25" eb="26">
      <t>ケ</t>
    </rPh>
    <phoneticPr fontId="1"/>
  </si>
  <si>
    <t>雑魚敵を貫通しない矢を3本同時に発射する。3本の成す角度は20°</t>
    <rPh sb="0" eb="3">
      <t>ザコテキ</t>
    </rPh>
    <rPh sb="4" eb="6">
      <t>カンツウ</t>
    </rPh>
    <rPh sb="9" eb="10">
      <t>ヤ</t>
    </rPh>
    <rPh sb="12" eb="13">
      <t>ホン</t>
    </rPh>
    <rPh sb="13" eb="15">
      <t>ドウジ</t>
    </rPh>
    <rPh sb="16" eb="18">
      <t>ハッシャ</t>
    </rPh>
    <rPh sb="22" eb="23">
      <t>ホン</t>
    </rPh>
    <rPh sb="24" eb="25">
      <t>ナ</t>
    </rPh>
    <rPh sb="26" eb="28">
      <t>カクド</t>
    </rPh>
    <phoneticPr fontId="1"/>
  </si>
  <si>
    <t>雑魚敵を貫通しない矢を4本同時に発射する。4本の成す角度は20°</t>
    <rPh sb="0" eb="3">
      <t>ザコテキ</t>
    </rPh>
    <rPh sb="4" eb="6">
      <t>カンツウ</t>
    </rPh>
    <rPh sb="9" eb="10">
      <t>ヤ</t>
    </rPh>
    <rPh sb="12" eb="13">
      <t>ホン</t>
    </rPh>
    <rPh sb="13" eb="15">
      <t>ドウジ</t>
    </rPh>
    <rPh sb="16" eb="18">
      <t>ハッシャ</t>
    </rPh>
    <rPh sb="22" eb="23">
      <t>ホン</t>
    </rPh>
    <rPh sb="24" eb="25">
      <t>ナ</t>
    </rPh>
    <rPh sb="26" eb="28">
      <t>カクド</t>
    </rPh>
    <phoneticPr fontId="1"/>
  </si>
  <si>
    <t>雑魚敵を貫通しない矢を5本同時に発射する。5本の成す角度は20°</t>
    <rPh sb="0" eb="3">
      <t>ザコテキ</t>
    </rPh>
    <rPh sb="4" eb="6">
      <t>カンツウ</t>
    </rPh>
    <rPh sb="9" eb="10">
      <t>ヤ</t>
    </rPh>
    <rPh sb="12" eb="13">
      <t>ホン</t>
    </rPh>
    <rPh sb="13" eb="15">
      <t>ドウジ</t>
    </rPh>
    <rPh sb="16" eb="18">
      <t>ハッシャ</t>
    </rPh>
    <rPh sb="22" eb="23">
      <t>ホン</t>
    </rPh>
    <rPh sb="24" eb="25">
      <t>ナ</t>
    </rPh>
    <rPh sb="26" eb="28">
      <t>カクド</t>
    </rPh>
    <phoneticPr fontId="1"/>
  </si>
  <si>
    <t>特技　戦闘中に不随意に発動するキャラクターの特技</t>
    <rPh sb="0" eb="2">
      <t>トクギ</t>
    </rPh>
    <rPh sb="3" eb="6">
      <t>セントウチュウ</t>
    </rPh>
    <rPh sb="7" eb="10">
      <t>フズイイ</t>
    </rPh>
    <rPh sb="11" eb="13">
      <t>ハツドウ</t>
    </rPh>
    <rPh sb="22" eb="24">
      <t>トクギ</t>
    </rPh>
    <phoneticPr fontId="1"/>
  </si>
  <si>
    <t>前列配置時</t>
    <rPh sb="0" eb="4">
      <t>ゼンレツハイチ</t>
    </rPh>
    <rPh sb="4" eb="5">
      <t>トキ</t>
    </rPh>
    <phoneticPr fontId="1"/>
  </si>
  <si>
    <t>後衛配置時</t>
    <rPh sb="0" eb="2">
      <t>コウエイ</t>
    </rPh>
    <rPh sb="2" eb="4">
      <t>ハイチ</t>
    </rPh>
    <rPh sb="4" eb="5">
      <t>トキ</t>
    </rPh>
    <phoneticPr fontId="1"/>
  </si>
  <si>
    <t>必殺技</t>
    <rPh sb="0" eb="3">
      <t>ヒッサツワザ</t>
    </rPh>
    <phoneticPr fontId="1"/>
  </si>
  <si>
    <t>キャラをダブルクリックして発動するスキル。</t>
    <rPh sb="13" eb="15">
      <t>ハツドウ</t>
    </rPh>
    <phoneticPr fontId="1"/>
  </si>
  <si>
    <t>消費SP</t>
    <rPh sb="0" eb="2">
      <t>ショウヒ</t>
    </rPh>
    <phoneticPr fontId="1"/>
  </si>
  <si>
    <t>弾丸を複数発連射したあとに着弾点を中心に敵を弾き飛ばす手りゅう弾を投げる。</t>
    <rPh sb="0" eb="2">
      <t>ダンガン</t>
    </rPh>
    <rPh sb="3" eb="5">
      <t>フクスウ</t>
    </rPh>
    <rPh sb="5" eb="6">
      <t>ハツ</t>
    </rPh>
    <rPh sb="6" eb="8">
      <t>レンシャ</t>
    </rPh>
    <rPh sb="13" eb="16">
      <t>チャクダンテン</t>
    </rPh>
    <rPh sb="17" eb="19">
      <t>チュウシン</t>
    </rPh>
    <rPh sb="20" eb="21">
      <t>テキ</t>
    </rPh>
    <rPh sb="22" eb="23">
      <t>ハジ</t>
    </rPh>
    <rPh sb="24" eb="25">
      <t>ト</t>
    </rPh>
    <rPh sb="27" eb="28">
      <t>シュ</t>
    </rPh>
    <rPh sb="31" eb="32">
      <t>ダン</t>
    </rPh>
    <rPh sb="33" eb="34">
      <t>ナ</t>
    </rPh>
    <phoneticPr fontId="1"/>
  </si>
  <si>
    <t>弾丸</t>
    <rPh sb="0" eb="2">
      <t>ダンガン</t>
    </rPh>
    <phoneticPr fontId="1"/>
  </si>
  <si>
    <t>手りゅう弾</t>
    <rPh sb="0" eb="1">
      <t>シュ</t>
    </rPh>
    <rPh sb="4" eb="5">
      <t>ダン</t>
    </rPh>
    <phoneticPr fontId="1"/>
  </si>
  <si>
    <t>命中場所を中心に半径1mにダメージ</t>
    <rPh sb="0" eb="2">
      <t>メイチュウ</t>
    </rPh>
    <rPh sb="2" eb="4">
      <t>バショ</t>
    </rPh>
    <rPh sb="5" eb="7">
      <t>チュウシン</t>
    </rPh>
    <rPh sb="8" eb="10">
      <t>ハンケイ</t>
    </rPh>
    <phoneticPr fontId="1"/>
  </si>
  <si>
    <t>上記の場合、弾丸発射→0.3秒→弾丸発射→0.3→秒弾丸発射→0.3秒→手りゅう弾発射→1秒　がワンセットでループする。</t>
    <rPh sb="0" eb="2">
      <t>ジョウキ</t>
    </rPh>
    <rPh sb="3" eb="5">
      <t>バアイ</t>
    </rPh>
    <rPh sb="6" eb="8">
      <t>ダンガン</t>
    </rPh>
    <rPh sb="8" eb="10">
      <t>ハッシャ</t>
    </rPh>
    <rPh sb="14" eb="15">
      <t>ビョウ</t>
    </rPh>
    <rPh sb="36" eb="37">
      <t>シュ</t>
    </rPh>
    <rPh sb="40" eb="41">
      <t>ダン</t>
    </rPh>
    <rPh sb="41" eb="43">
      <t>ハッシャ</t>
    </rPh>
    <rPh sb="45" eb="46">
      <t>ビョウ</t>
    </rPh>
    <phoneticPr fontId="1"/>
  </si>
  <si>
    <t>極端に近接してきた敵1体を弾き飛ばす。</t>
    <rPh sb="0" eb="2">
      <t>キョクタン</t>
    </rPh>
    <rPh sb="3" eb="5">
      <t>キンセツ</t>
    </rPh>
    <rPh sb="9" eb="10">
      <t>テキ</t>
    </rPh>
    <rPh sb="11" eb="12">
      <t>タイ</t>
    </rPh>
    <rPh sb="13" eb="14">
      <t>ハジ</t>
    </rPh>
    <rPh sb="15" eb="16">
      <t>ト</t>
    </rPh>
    <phoneticPr fontId="1"/>
  </si>
  <si>
    <t>上記の場合、(弾丸発射→0.15秒)が6回繰り返された後、画面には見えないがキックを発動する。もし敵がいればダメージを受け吹っ飛ぶ。</t>
    <rPh sb="0" eb="2">
      <t>ジョウキ</t>
    </rPh>
    <rPh sb="3" eb="5">
      <t>バアイ</t>
    </rPh>
    <rPh sb="7" eb="9">
      <t>ダンガン</t>
    </rPh>
    <rPh sb="9" eb="11">
      <t>ハッシャ</t>
    </rPh>
    <rPh sb="16" eb="17">
      <t>ビョウ</t>
    </rPh>
    <rPh sb="20" eb="21">
      <t>カイ</t>
    </rPh>
    <rPh sb="21" eb="22">
      <t>ク</t>
    </rPh>
    <rPh sb="23" eb="24">
      <t>カエ</t>
    </rPh>
    <rPh sb="27" eb="28">
      <t>アト</t>
    </rPh>
    <rPh sb="29" eb="31">
      <t>ガメン</t>
    </rPh>
    <rPh sb="33" eb="34">
      <t>ミ</t>
    </rPh>
    <rPh sb="42" eb="44">
      <t>ハツドウ</t>
    </rPh>
    <rPh sb="49" eb="50">
      <t>テキ</t>
    </rPh>
    <rPh sb="59" eb="60">
      <t>ウ</t>
    </rPh>
    <rPh sb="61" eb="62">
      <t>フ</t>
    </rPh>
    <rPh sb="63" eb="64">
      <t>ト</t>
    </rPh>
    <phoneticPr fontId="1"/>
  </si>
  <si>
    <t>いなければ攻撃にスキマ(リロード時間)ができているように見えるだけ。</t>
    <rPh sb="5" eb="7">
      <t>コウゲキ</t>
    </rPh>
    <rPh sb="16" eb="18">
      <t>ジカン</t>
    </rPh>
    <rPh sb="28" eb="29">
      <t>ミ</t>
    </rPh>
    <phoneticPr fontId="1"/>
  </si>
  <si>
    <t>##ここは攻撃パターンの表記方法とそのサンプル</t>
    <rPh sb="5" eb="7">
      <t>コウゲキ</t>
    </rPh>
    <rPh sb="12" eb="14">
      <t>ヒョウキ</t>
    </rPh>
    <rPh sb="14" eb="16">
      <t>ホウホウ</t>
    </rPh>
    <phoneticPr fontId="1"/>
  </si>
  <si>
    <t>弾丸の見た目だけを倍の大きさにする。</t>
    <rPh sb="0" eb="2">
      <t>ダンガン</t>
    </rPh>
    <rPh sb="3" eb="4">
      <t>ミ</t>
    </rPh>
    <rPh sb="5" eb="6">
      <t>メ</t>
    </rPh>
    <rPh sb="9" eb="10">
      <t>バイ</t>
    </rPh>
    <rPh sb="11" eb="12">
      <t>オオ</t>
    </rPh>
    <phoneticPr fontId="1"/>
  </si>
  <si>
    <t>紫苑のスキル</t>
    <rPh sb="0" eb="2">
      <t>シオン</t>
    </rPh>
    <phoneticPr fontId="1"/>
  </si>
  <si>
    <t>紫苑</t>
    <rPh sb="0" eb="2">
      <t>シオン</t>
    </rPh>
    <phoneticPr fontId="1"/>
  </si>
  <si>
    <t>001001.png</t>
    <phoneticPr fontId="1"/>
  </si>
  <si>
    <t>001002.png</t>
    <phoneticPr fontId="1"/>
  </si>
  <si>
    <t>001003.png</t>
    <phoneticPr fontId="1"/>
  </si>
  <si>
    <t>001004.png</t>
    <phoneticPr fontId="1"/>
  </si>
  <si>
    <t>4+(WLV)秒の間、一時的に紫苑のすべての攻撃のリロード速度を1/3にする。</t>
    <rPh sb="7" eb="8">
      <t>ビョウ</t>
    </rPh>
    <rPh sb="9" eb="10">
      <t>アイダ</t>
    </rPh>
    <rPh sb="11" eb="14">
      <t>イチジテキ</t>
    </rPh>
    <rPh sb="15" eb="17">
      <t>シオン</t>
    </rPh>
    <rPh sb="22" eb="24">
      <t>コウゲキ</t>
    </rPh>
    <rPh sb="29" eb="31">
      <t>ソクド</t>
    </rPh>
    <phoneticPr fontId="1"/>
  </si>
  <si>
    <t>各キャラクターごとに１秒に１回ガチャを回します。</t>
    <rPh sb="0" eb="1">
      <t>カク</t>
    </rPh>
    <rPh sb="11" eb="12">
      <t>ビョウ</t>
    </rPh>
    <rPh sb="14" eb="15">
      <t>カイ</t>
    </rPh>
    <rPh sb="19" eb="20">
      <t>マワ</t>
    </rPh>
    <phoneticPr fontId="1"/>
  </si>
  <si>
    <t>１回目は1/100です。２回目は1/99、３回目は1/98という風に確率が上がってゆき、いつか当選するとレベルアップとなります。</t>
    <rPh sb="1" eb="3">
      <t>カイメ</t>
    </rPh>
    <rPh sb="13" eb="15">
      <t>カイメ</t>
    </rPh>
    <rPh sb="22" eb="24">
      <t>カイメ</t>
    </rPh>
    <rPh sb="32" eb="33">
      <t>フウ</t>
    </rPh>
    <rPh sb="34" eb="36">
      <t>カクリツ</t>
    </rPh>
    <rPh sb="37" eb="38">
      <t>ア</t>
    </rPh>
    <rPh sb="47" eb="49">
      <t>トウセン</t>
    </rPh>
    <phoneticPr fontId="1"/>
  </si>
  <si>
    <t>レベルアップするとその時の前衛後衛配置によってどちらかのレベルが上がります。</t>
    <rPh sb="11" eb="12">
      <t>トキ</t>
    </rPh>
    <rPh sb="13" eb="15">
      <t>ゼンエイ</t>
    </rPh>
    <rPh sb="15" eb="17">
      <t>コウエイ</t>
    </rPh>
    <rPh sb="17" eb="19">
      <t>ハイチ</t>
    </rPh>
    <rPh sb="32" eb="33">
      <t>ア</t>
    </rPh>
    <phoneticPr fontId="1"/>
  </si>
  <si>
    <t>前衛配置→近接攻撃レベル　後衛配置→遠隔攻撃レベル</t>
    <rPh sb="0" eb="2">
      <t>ゼンエイ</t>
    </rPh>
    <rPh sb="2" eb="4">
      <t>ハイチ</t>
    </rPh>
    <rPh sb="5" eb="9">
      <t>キンセツコウゲキ</t>
    </rPh>
    <rPh sb="13" eb="17">
      <t>コウエイハイチ</t>
    </rPh>
    <rPh sb="18" eb="22">
      <t>エンカクコウゲキ</t>
    </rPh>
    <phoneticPr fontId="1"/>
  </si>
  <si>
    <t>どちらかのレベルがすでに7であればもう一方のレベルが上がります。</t>
    <rPh sb="19" eb="21">
      <t>イッポウ</t>
    </rPh>
    <rPh sb="26" eb="27">
      <t>ア</t>
    </rPh>
    <phoneticPr fontId="1"/>
  </si>
  <si>
    <t>装備品などによって一時的にレベルが上がっている場合は除く。</t>
    <rPh sb="0" eb="3">
      <t>ソウビヒン</t>
    </rPh>
    <rPh sb="9" eb="12">
      <t>イチジテキ</t>
    </rPh>
    <rPh sb="17" eb="18">
      <t>ア</t>
    </rPh>
    <rPh sb="23" eb="25">
      <t>バアイ</t>
    </rPh>
    <rPh sb="26" eb="27">
      <t>ノゾ</t>
    </rPh>
    <phoneticPr fontId="1"/>
  </si>
  <si>
    <t>攻撃レベルが一度あがると確率はリセットされます。</t>
    <rPh sb="0" eb="2">
      <t>コウゲキ</t>
    </rPh>
    <rPh sb="6" eb="8">
      <t>イチド</t>
    </rPh>
    <rPh sb="12" eb="14">
      <t>カクリツ</t>
    </rPh>
    <phoneticPr fontId="1"/>
  </si>
  <si>
    <t>攻撃レベルが1回上がると、次の抽選確率は1/200になります。</t>
    <rPh sb="0" eb="2">
      <t>コウゲキ</t>
    </rPh>
    <rPh sb="7" eb="8">
      <t>カイ</t>
    </rPh>
    <rPh sb="8" eb="9">
      <t>ア</t>
    </rPh>
    <rPh sb="13" eb="14">
      <t>ツギ</t>
    </rPh>
    <rPh sb="15" eb="19">
      <t>チュウセンカクリツ</t>
    </rPh>
    <phoneticPr fontId="1"/>
  </si>
  <si>
    <t>攻撃レベルの上がった回数</t>
    <rPh sb="0" eb="2">
      <t>コウゲキ</t>
    </rPh>
    <rPh sb="6" eb="7">
      <t>ア</t>
    </rPh>
    <rPh sb="10" eb="12">
      <t>カイスウ</t>
    </rPh>
    <phoneticPr fontId="1"/>
  </si>
  <si>
    <t>抽選確率分母開始値</t>
    <rPh sb="0" eb="2">
      <t>チュウセン</t>
    </rPh>
    <rPh sb="2" eb="6">
      <t>カクリツブンボ</t>
    </rPh>
    <rPh sb="6" eb="8">
      <t>カイシ</t>
    </rPh>
    <rPh sb="8" eb="9">
      <t>アタイ</t>
    </rPh>
    <phoneticPr fontId="1"/>
  </si>
  <si>
    <t>全員共通データ</t>
    <rPh sb="0" eb="2">
      <t>ゼンイン</t>
    </rPh>
    <rPh sb="2" eb="4">
      <t>キョウツウ</t>
    </rPh>
    <phoneticPr fontId="1"/>
  </si>
  <si>
    <t>近接/遠隔攻撃レベル それぞれ1から始まり最大7</t>
    <rPh sb="0" eb="2">
      <t>キンセツ</t>
    </rPh>
    <rPh sb="3" eb="5">
      <t>エンカク</t>
    </rPh>
    <rPh sb="5" eb="7">
      <t>コウゲキ</t>
    </rPh>
    <rPh sb="18" eb="19">
      <t>ハジ</t>
    </rPh>
    <rPh sb="21" eb="23">
      <t>サイダイ</t>
    </rPh>
    <phoneticPr fontId="1"/>
  </si>
  <si>
    <t>スワイプによる移動</t>
    <rPh sb="7" eb="9">
      <t>イドウ</t>
    </rPh>
    <phoneticPr fontId="1"/>
  </si>
  <si>
    <t>移動には1秒のクールダウンが必要で連続で移動することはできない。</t>
    <rPh sb="0" eb="2">
      <t>イドウ</t>
    </rPh>
    <rPh sb="5" eb="6">
      <t>ビョウ</t>
    </rPh>
    <rPh sb="14" eb="16">
      <t>ヒツヨウ</t>
    </rPh>
    <rPh sb="17" eb="19">
      <t>レンゾク</t>
    </rPh>
    <rPh sb="20" eb="22">
      <t>イドウ</t>
    </rPh>
    <phoneticPr fontId="1"/>
  </si>
  <si>
    <t>生命力/最大生命力</t>
    <rPh sb="0" eb="3">
      <t>セイメイリョク</t>
    </rPh>
    <rPh sb="4" eb="6">
      <t>サイダイ</t>
    </rPh>
    <rPh sb="6" eb="9">
      <t>セイメイリョク</t>
    </rPh>
    <phoneticPr fontId="1"/>
  </si>
  <si>
    <t>精神力/最大精神力</t>
    <rPh sb="0" eb="3">
      <t>セイシンリョク</t>
    </rPh>
    <rPh sb="4" eb="6">
      <t>サイダイ</t>
    </rPh>
    <rPh sb="6" eb="9">
      <t>セイシンリョク</t>
    </rPh>
    <phoneticPr fontId="1"/>
  </si>
  <si>
    <t>攻撃力</t>
    <rPh sb="0" eb="3">
      <t>コウゲキリョク</t>
    </rPh>
    <phoneticPr fontId="1"/>
  </si>
  <si>
    <t>いわゆるHP 戦闘中に失うと戦闘不能になる。</t>
    <rPh sb="7" eb="10">
      <t>セントウチュウ</t>
    </rPh>
    <rPh sb="11" eb="12">
      <t>ウシナ</t>
    </rPh>
    <rPh sb="14" eb="18">
      <t>セントウフノウ</t>
    </rPh>
    <phoneticPr fontId="1"/>
  </si>
  <si>
    <t>いわゆるMP とはいえない 無くなるとキャラクターは消失する。</t>
    <rPh sb="14" eb="15">
      <t>ナ</t>
    </rPh>
    <rPh sb="26" eb="28">
      <t>ショウシツ</t>
    </rPh>
    <phoneticPr fontId="1"/>
  </si>
  <si>
    <t>攻撃力の源泉ともいえる値。この数値の何％かが実際の各攻撃の攻撃力となる。</t>
    <rPh sb="0" eb="3">
      <t>コウゲキリョク</t>
    </rPh>
    <rPh sb="4" eb="6">
      <t>ゲンセン</t>
    </rPh>
    <rPh sb="11" eb="12">
      <t>アタイ</t>
    </rPh>
    <rPh sb="15" eb="17">
      <t>スウチ</t>
    </rPh>
    <rPh sb="18" eb="19">
      <t>ナニ</t>
    </rPh>
    <rPh sb="22" eb="24">
      <t>ジッサイ</t>
    </rPh>
    <rPh sb="25" eb="26">
      <t>カク</t>
    </rPh>
    <rPh sb="26" eb="28">
      <t>コウゲキ</t>
    </rPh>
    <rPh sb="29" eb="32">
      <t>コウゲキリョク</t>
    </rPh>
    <phoneticPr fontId="1"/>
  </si>
  <si>
    <t>近接攻撃LV</t>
    <rPh sb="0" eb="2">
      <t>キンセツ</t>
    </rPh>
    <rPh sb="2" eb="4">
      <t>コウゲキ</t>
    </rPh>
    <phoneticPr fontId="1"/>
  </si>
  <si>
    <t>遠隔攻撃LV</t>
    <rPh sb="0" eb="2">
      <t>エンカク</t>
    </rPh>
    <rPh sb="2" eb="4">
      <t>コウゲキ</t>
    </rPh>
    <phoneticPr fontId="1"/>
  </si>
  <si>
    <t>経験値</t>
    <rPh sb="0" eb="3">
      <t>ケイケンチ</t>
    </rPh>
    <phoneticPr fontId="1"/>
  </si>
  <si>
    <t>親愛度</t>
    <rPh sb="0" eb="3">
      <t>シンアイド</t>
    </rPh>
    <phoneticPr fontId="1"/>
  </si>
  <si>
    <t>他キャラからの友好度の合計値。</t>
    <rPh sb="0" eb="1">
      <t>ホカ</t>
    </rPh>
    <rPh sb="7" eb="10">
      <t>ユウコウド</t>
    </rPh>
    <rPh sb="11" eb="14">
      <t>ゴウケイチ</t>
    </rPh>
    <phoneticPr fontId="1"/>
  </si>
  <si>
    <t>友好度</t>
    <rPh sb="0" eb="3">
      <t>ユウコウド</t>
    </rPh>
    <phoneticPr fontId="1"/>
  </si>
  <si>
    <t>各キャラクターが他の各キャラクターごとに持っている値。-10から+100まで</t>
    <rPh sb="0" eb="1">
      <t>カク</t>
    </rPh>
    <rPh sb="8" eb="9">
      <t>ホカ</t>
    </rPh>
    <rPh sb="10" eb="11">
      <t>カク</t>
    </rPh>
    <rPh sb="20" eb="21">
      <t>モ</t>
    </rPh>
    <rPh sb="25" eb="26">
      <t>アタイ</t>
    </rPh>
    <phoneticPr fontId="1"/>
  </si>
  <si>
    <t>装備中ジェム</t>
    <rPh sb="0" eb="3">
      <t>ソウビチュウ</t>
    </rPh>
    <phoneticPr fontId="1"/>
  </si>
  <si>
    <t>装備中レリクス</t>
    <rPh sb="2" eb="3">
      <t>ナカ</t>
    </rPh>
    <phoneticPr fontId="1"/>
  </si>
  <si>
    <t>装備箇所は5か所あり、それぞれ愛　勇気　知恵　魂　希望</t>
    <rPh sb="0" eb="4">
      <t>ソウビカショ</t>
    </rPh>
    <rPh sb="7" eb="8">
      <t>ショ</t>
    </rPh>
    <phoneticPr fontId="1"/>
  </si>
  <si>
    <t>戦闘中の精神力の減少</t>
    <rPh sb="0" eb="3">
      <t>セントウチュウ</t>
    </rPh>
    <rPh sb="4" eb="7">
      <t>セイシンリョク</t>
    </rPh>
    <rPh sb="8" eb="10">
      <t>ゲンショウ</t>
    </rPh>
    <phoneticPr fontId="1"/>
  </si>
  <si>
    <t>戦闘中前衛にいる間1秒ごとに0.1精神力を失う。</t>
    <rPh sb="0" eb="3">
      <t>セントウチュウ</t>
    </rPh>
    <rPh sb="3" eb="5">
      <t>ゼンエイ</t>
    </rPh>
    <rPh sb="8" eb="9">
      <t>アイダ</t>
    </rPh>
    <rPh sb="10" eb="11">
      <t>ビョウ</t>
    </rPh>
    <rPh sb="17" eb="20">
      <t>セイシンリョク</t>
    </rPh>
    <rPh sb="21" eb="22">
      <t>ウシナ</t>
    </rPh>
    <phoneticPr fontId="1"/>
  </si>
  <si>
    <t>戦闘中1秒ごとに0.1精神力を失う。</t>
    <rPh sb="0" eb="3">
      <t>セントウチュウ</t>
    </rPh>
    <rPh sb="4" eb="5">
      <t>ビョウ</t>
    </rPh>
    <rPh sb="11" eb="14">
      <t>セイシンリョク</t>
    </rPh>
    <rPh sb="15" eb="16">
      <t>ウシナ</t>
    </rPh>
    <phoneticPr fontId="1"/>
  </si>
  <si>
    <t>戦闘中受けたダメージの1/10の精神力を失う。</t>
    <rPh sb="0" eb="3">
      <t>セントウチュウ</t>
    </rPh>
    <rPh sb="3" eb="4">
      <t>ウ</t>
    </rPh>
    <rPh sb="16" eb="19">
      <t>セイシンリョク</t>
    </rPh>
    <rPh sb="20" eb="21">
      <t>ウシナ</t>
    </rPh>
    <phoneticPr fontId="1"/>
  </si>
  <si>
    <t>効果の一部に遠近攻撃レベルの合計が影響する。遠近攻撃レベルの合計を　WLV　と表記する。</t>
    <rPh sb="0" eb="2">
      <t>コウカ</t>
    </rPh>
    <rPh sb="3" eb="5">
      <t>イチブ</t>
    </rPh>
    <rPh sb="6" eb="8">
      <t>エンキン</t>
    </rPh>
    <rPh sb="8" eb="10">
      <t>コウゲキ</t>
    </rPh>
    <rPh sb="14" eb="16">
      <t>ゴウケイ</t>
    </rPh>
    <rPh sb="17" eb="19">
      <t>エイキョウ</t>
    </rPh>
    <rPh sb="22" eb="24">
      <t>エンキン</t>
    </rPh>
    <rPh sb="24" eb="26">
      <t>コウゲキ</t>
    </rPh>
    <rPh sb="30" eb="32">
      <t>ゴウケイ</t>
    </rPh>
    <rPh sb="39" eb="41">
      <t>ヒョウキ</t>
    </rPh>
    <phoneticPr fontId="1"/>
  </si>
  <si>
    <t>レベルアップに必要な経験値</t>
    <rPh sb="7" eb="9">
      <t>ヒツヨウ</t>
    </rPh>
    <rPh sb="10" eb="13">
      <t>ケイケンチ</t>
    </rPh>
    <phoneticPr fontId="1"/>
  </si>
  <si>
    <t>←レベル1から２に上げるときに必要な経験値</t>
    <rPh sb="9" eb="10">
      <t>ア</t>
    </rPh>
    <rPh sb="15" eb="17">
      <t>ヒツヨウ</t>
    </rPh>
    <rPh sb="18" eb="21">
      <t>ケイケンチ</t>
    </rPh>
    <phoneticPr fontId="1"/>
  </si>
  <si>
    <t>経験値が図の値になると、その分の経験値を消費してレベルが上がる。</t>
    <rPh sb="0" eb="3">
      <t>ケイケンチ</t>
    </rPh>
    <rPh sb="4" eb="5">
      <t>ズ</t>
    </rPh>
    <rPh sb="6" eb="7">
      <t>アタイ</t>
    </rPh>
    <rPh sb="14" eb="15">
      <t>ブン</t>
    </rPh>
    <rPh sb="16" eb="19">
      <t>ケイケンチ</t>
    </rPh>
    <rPh sb="20" eb="22">
      <t>ショウヒ</t>
    </rPh>
    <rPh sb="28" eb="29">
      <t>ア</t>
    </rPh>
    <phoneticPr fontId="1"/>
  </si>
  <si>
    <t>レベルが上がると基礎能力値が少し上昇する</t>
    <rPh sb="4" eb="5">
      <t>ア</t>
    </rPh>
    <rPh sb="8" eb="10">
      <t>キソ</t>
    </rPh>
    <rPh sb="10" eb="13">
      <t>ノウリョクチ</t>
    </rPh>
    <rPh sb="14" eb="15">
      <t>スコ</t>
    </rPh>
    <rPh sb="16" eb="18">
      <t>ジョウショウ</t>
    </rPh>
    <phoneticPr fontId="1"/>
  </si>
  <si>
    <t>レベル１だと一か所しか装備できない</t>
    <rPh sb="6" eb="7">
      <t>イッ</t>
    </rPh>
    <rPh sb="8" eb="9">
      <t>ショ</t>
    </rPh>
    <rPh sb="11" eb="13">
      <t>ソウビ</t>
    </rPh>
    <phoneticPr fontId="1"/>
  </si>
  <si>
    <t>装備箇所</t>
    <rPh sb="0" eb="4">
      <t>ソウビカショ</t>
    </rPh>
    <phoneticPr fontId="1"/>
  </si>
  <si>
    <t>10+WLV</t>
    <phoneticPr fontId="1"/>
  </si>
  <si>
    <t>発動後4+(WLV)秒間、味方全員の攻撃命中率を10(+WLV)%上げる。</t>
    <rPh sb="0" eb="3">
      <t>ハツドウゴ</t>
    </rPh>
    <rPh sb="10" eb="12">
      <t>ビョウカン</t>
    </rPh>
    <rPh sb="13" eb="15">
      <t>ミカタ</t>
    </rPh>
    <rPh sb="15" eb="17">
      <t>ゼンイン</t>
    </rPh>
    <rPh sb="18" eb="23">
      <t>コウゲキメイチュウリツ</t>
    </rPh>
    <rPh sb="33" eb="34">
      <t>ア</t>
    </rPh>
    <phoneticPr fontId="1"/>
  </si>
  <si>
    <t>クリティカルヒット率</t>
    <rPh sb="9" eb="10">
      <t>リツ</t>
    </rPh>
    <phoneticPr fontId="1"/>
  </si>
  <si>
    <t>クリティカルヒット倍率</t>
    <rPh sb="9" eb="11">
      <t>バイリツ</t>
    </rPh>
    <phoneticPr fontId="1"/>
  </si>
  <si>
    <t>攻撃の命中時に判定し、クリティカルであれば</t>
    <rPh sb="0" eb="2">
      <t>コウゲキ</t>
    </rPh>
    <rPh sb="3" eb="5">
      <t>メイチュウ</t>
    </rPh>
    <rPh sb="5" eb="6">
      <t>ジ</t>
    </rPh>
    <rPh sb="7" eb="9">
      <t>ハンテイ</t>
    </rPh>
    <phoneticPr fontId="1"/>
  </si>
  <si>
    <t>各種装備や影響の計算後の攻撃力を100%として倍率の分上乗せになる。</t>
    <rPh sb="0" eb="4">
      <t>カクシュソウビ</t>
    </rPh>
    <rPh sb="5" eb="7">
      <t>エイキョウ</t>
    </rPh>
    <rPh sb="8" eb="10">
      <t>ケイサン</t>
    </rPh>
    <rPh sb="10" eb="11">
      <t>アト</t>
    </rPh>
    <rPh sb="12" eb="15">
      <t>コウゲキリョク</t>
    </rPh>
    <rPh sb="23" eb="25">
      <t>バイリツ</t>
    </rPh>
    <rPh sb="26" eb="27">
      <t>ブン</t>
    </rPh>
    <rPh sb="27" eb="29">
      <t>ウワノ</t>
    </rPh>
    <phoneticPr fontId="1"/>
  </si>
  <si>
    <t>基本5％</t>
    <rPh sb="0" eb="2">
      <t>キホン</t>
    </rPh>
    <phoneticPr fontId="1"/>
  </si>
  <si>
    <t>基本100%</t>
    <rPh sb="0" eb="2">
      <t>キホン</t>
    </rPh>
    <phoneticPr fontId="1"/>
  </si>
  <si>
    <t>リロード速度</t>
    <rPh sb="4" eb="6">
      <t>ソクド</t>
    </rPh>
    <phoneticPr fontId="1"/>
  </si>
  <si>
    <t>基本100</t>
    <rPh sb="0" eb="2">
      <t>キホン</t>
    </rPh>
    <phoneticPr fontId="1"/>
  </si>
  <si>
    <t>攻撃行動にあるリロード値を増減する。高級な装備品や効果で変化する。</t>
    <rPh sb="0" eb="4">
      <t>コウゲキコウドウ</t>
    </rPh>
    <rPh sb="11" eb="12">
      <t>アタイ</t>
    </rPh>
    <rPh sb="13" eb="15">
      <t>ゾウゲン</t>
    </rPh>
    <rPh sb="18" eb="20">
      <t>コウキュウ</t>
    </rPh>
    <rPh sb="21" eb="24">
      <t>ソウビヒン</t>
    </rPh>
    <rPh sb="25" eb="27">
      <t>コウカ</t>
    </rPh>
    <rPh sb="28" eb="30">
      <t>ヘンカ</t>
    </rPh>
    <phoneticPr fontId="1"/>
  </si>
  <si>
    <t>攻撃思考の順番</t>
    <rPh sb="0" eb="2">
      <t>コウゲキ</t>
    </rPh>
    <rPh sb="2" eb="4">
      <t>シコウ</t>
    </rPh>
    <rPh sb="5" eb="7">
      <t>ジュンバン</t>
    </rPh>
    <phoneticPr fontId="1"/>
  </si>
  <si>
    <t>↓</t>
    <phoneticPr fontId="1"/>
  </si>
  <si>
    <t>20m以内に敵がいる→そっちを向く</t>
    <rPh sb="3" eb="5">
      <t>イナイ</t>
    </rPh>
    <rPh sb="6" eb="7">
      <t>テキ</t>
    </rPh>
    <rPh sb="15" eb="16">
      <t>ム</t>
    </rPh>
    <phoneticPr fontId="1"/>
  </si>
  <si>
    <t>遠隔攻撃範囲内に敵がいる→遠距離攻撃コンボ</t>
    <rPh sb="0" eb="4">
      <t>エンカクコウゲキ</t>
    </rPh>
    <rPh sb="4" eb="6">
      <t>ハンイ</t>
    </rPh>
    <rPh sb="6" eb="7">
      <t>ナイ</t>
    </rPh>
    <rPh sb="8" eb="9">
      <t>テキ</t>
    </rPh>
    <rPh sb="13" eb="16">
      <t>エンキョリ</t>
    </rPh>
    <rPh sb="16" eb="18">
      <t>コウゲキ</t>
    </rPh>
    <phoneticPr fontId="1"/>
  </si>
  <si>
    <t>近接攻撃範囲内に敵がいる→近接攻撃コンボ</t>
    <rPh sb="0" eb="2">
      <t>キンセツ</t>
    </rPh>
    <rPh sb="2" eb="4">
      <t>コウゲキ</t>
    </rPh>
    <rPh sb="4" eb="6">
      <t>ハンイ</t>
    </rPh>
    <rPh sb="6" eb="7">
      <t>ナイ</t>
    </rPh>
    <rPh sb="8" eb="9">
      <t>テキ</t>
    </rPh>
    <rPh sb="13" eb="15">
      <t>キンセツ</t>
    </rPh>
    <rPh sb="15" eb="17">
      <t>コウゲキ</t>
    </rPh>
    <phoneticPr fontId="1"/>
  </si>
  <si>
    <t>現在、コンボの途中ではない</t>
    <rPh sb="0" eb="2">
      <t>ゲンザイ</t>
    </rPh>
    <rPh sb="7" eb="9">
      <t>トチュウ</t>
    </rPh>
    <phoneticPr fontId="1"/>
  </si>
  <si>
    <t>目標を中心として10度のランダム拡散</t>
    <rPh sb="0" eb="2">
      <t>モクヒョウ</t>
    </rPh>
    <rPh sb="3" eb="5">
      <t>チュウシン</t>
    </rPh>
    <rPh sb="10" eb="11">
      <t>ド</t>
    </rPh>
    <rPh sb="16" eb="18">
      <t>カクサン</t>
    </rPh>
    <phoneticPr fontId="1"/>
  </si>
  <si>
    <t>目標を中心として1度のランダム拡散</t>
    <rPh sb="0" eb="2">
      <t>モクヒョウ</t>
    </rPh>
    <rPh sb="3" eb="5">
      <t>チュウシン</t>
    </rPh>
    <rPh sb="9" eb="10">
      <t>ド</t>
    </rPh>
    <rPh sb="15" eb="17">
      <t>カクサン</t>
    </rPh>
    <phoneticPr fontId="1"/>
  </si>
  <si>
    <t>命中場所を中心に半径2mにダメージ　命中しなくても敵に１ｍまで近づくか18m進むと爆発する。</t>
    <rPh sb="0" eb="2">
      <t>メイチュウ</t>
    </rPh>
    <rPh sb="2" eb="4">
      <t>バショ</t>
    </rPh>
    <rPh sb="5" eb="7">
      <t>チュウシン</t>
    </rPh>
    <rPh sb="8" eb="10">
      <t>ハンケイ</t>
    </rPh>
    <rPh sb="38" eb="39">
      <t>スス</t>
    </rPh>
    <phoneticPr fontId="1"/>
  </si>
  <si>
    <t>蒼樹は遠距離からは剣を2回投げつける。紫苑の弾の5発分ぐらいだけどリロード１.2秒。近接戦闘だと一番近くて一番HPの高い目標を中心に1.5m分範囲ぐらいの敵を遠ざける。それを1秒で2回行う。紫苑の弾8発分ぐらい。リロードは1秒。</t>
  </si>
  <si>
    <t>002001.png</t>
    <phoneticPr fontId="1"/>
  </si>
  <si>
    <t>002002.png</t>
    <phoneticPr fontId="1"/>
  </si>
  <si>
    <t>002003.png</t>
    <phoneticPr fontId="1"/>
  </si>
  <si>
    <t>剣投げ</t>
    <rPh sb="0" eb="1">
      <t>ケン</t>
    </rPh>
    <rPh sb="1" eb="2">
      <t>ナ</t>
    </rPh>
    <phoneticPr fontId="1"/>
  </si>
  <si>
    <t>蒼樹</t>
    <rPh sb="0" eb="1">
      <t>アオ</t>
    </rPh>
    <rPh sb="1" eb="2">
      <t>イツキ</t>
    </rPh>
    <phoneticPr fontId="1"/>
  </si>
  <si>
    <t>遠距離に剣を投げる</t>
    <rPh sb="0" eb="3">
      <t>エンキョリ</t>
    </rPh>
    <rPh sb="4" eb="5">
      <t>ケン</t>
    </rPh>
    <rPh sb="6" eb="7">
      <t>ナ</t>
    </rPh>
    <phoneticPr fontId="1"/>
  </si>
  <si>
    <t>上記の場合、剣発射→0.3秒→剣発射→0.3秒→リロード0.6秒　がワンセットでループする。</t>
    <rPh sb="0" eb="2">
      <t>ジョウキ</t>
    </rPh>
    <rPh sb="3" eb="5">
      <t>バアイ</t>
    </rPh>
    <rPh sb="6" eb="7">
      <t>ケン</t>
    </rPh>
    <rPh sb="7" eb="9">
      <t>ハッシャ</t>
    </rPh>
    <rPh sb="13" eb="14">
      <t>ビョウ</t>
    </rPh>
    <rPh sb="15" eb="16">
      <t>ケン</t>
    </rPh>
    <rPh sb="22" eb="23">
      <t>ビョウ</t>
    </rPh>
    <rPh sb="31" eb="32">
      <t>ビョウ</t>
    </rPh>
    <phoneticPr fontId="1"/>
  </si>
  <si>
    <t>この間攻撃できない。</t>
    <rPh sb="2" eb="3">
      <t>アイダ</t>
    </rPh>
    <rPh sb="3" eb="5">
      <t>コウゲキ</t>
    </rPh>
    <phoneticPr fontId="1"/>
  </si>
  <si>
    <t>剣振り</t>
    <rPh sb="0" eb="1">
      <t>ケン</t>
    </rPh>
    <rPh sb="1" eb="2">
      <t>フ</t>
    </rPh>
    <phoneticPr fontId="1"/>
  </si>
  <si>
    <t>狙った敵を中心に120°剣をスイングして範囲内敵にダメージ</t>
    <rPh sb="0" eb="1">
      <t>ネラ</t>
    </rPh>
    <rPh sb="3" eb="4">
      <t>テキ</t>
    </rPh>
    <rPh sb="5" eb="7">
      <t>チュウシン</t>
    </rPh>
    <rPh sb="12" eb="13">
      <t>ケン</t>
    </rPh>
    <rPh sb="20" eb="23">
      <t>ハンイナイ</t>
    </rPh>
    <rPh sb="23" eb="24">
      <t>テキ</t>
    </rPh>
    <phoneticPr fontId="1"/>
  </si>
  <si>
    <t>最も近いターゲット周辺に衝撃を与えふっとばす</t>
    <rPh sb="0" eb="1">
      <t>モット</t>
    </rPh>
    <rPh sb="2" eb="3">
      <t>チカ</t>
    </rPh>
    <rPh sb="9" eb="11">
      <t>シュウヘン</t>
    </rPh>
    <rPh sb="12" eb="14">
      <t>ショウゲキ</t>
    </rPh>
    <rPh sb="15" eb="16">
      <t>アタ</t>
    </rPh>
    <phoneticPr fontId="1"/>
  </si>
  <si>
    <t>剣投げorリロード</t>
    <rPh sb="0" eb="1">
      <t>ケン</t>
    </rPh>
    <rPh sb="1" eb="2">
      <t>ナ</t>
    </rPh>
    <phoneticPr fontId="1"/>
  </si>
  <si>
    <t>上記の場合、(剣振り→0.3秒)が2回繰り返された後、ターゲットがまだ6m以内にいれば剣投げを発動する。</t>
    <rPh sb="0" eb="2">
      <t>ジョウキ</t>
    </rPh>
    <rPh sb="3" eb="5">
      <t>バアイ</t>
    </rPh>
    <rPh sb="7" eb="8">
      <t>ケン</t>
    </rPh>
    <rPh sb="8" eb="9">
      <t>フ</t>
    </rPh>
    <rPh sb="14" eb="15">
      <t>ビョウ</t>
    </rPh>
    <rPh sb="18" eb="19">
      <t>カイ</t>
    </rPh>
    <rPh sb="19" eb="20">
      <t>ク</t>
    </rPh>
    <rPh sb="21" eb="22">
      <t>カエ</t>
    </rPh>
    <rPh sb="25" eb="26">
      <t>アト</t>
    </rPh>
    <rPh sb="37" eb="39">
      <t>イナイ</t>
    </rPh>
    <rPh sb="43" eb="45">
      <t>ケンナ</t>
    </rPh>
    <rPh sb="47" eb="49">
      <t>ハツドウ</t>
    </rPh>
    <phoneticPr fontId="1"/>
  </si>
  <si>
    <t>ターゲット不在でキャンセルした場合、リロード時間の後また別の攻撃を開始することができる。</t>
    <rPh sb="5" eb="7">
      <t>フザイ</t>
    </rPh>
    <rPh sb="15" eb="17">
      <t>バアイ</t>
    </rPh>
    <rPh sb="22" eb="24">
      <t>ジカン</t>
    </rPh>
    <rPh sb="25" eb="26">
      <t>アト</t>
    </rPh>
    <rPh sb="28" eb="29">
      <t>ベツ</t>
    </rPh>
    <rPh sb="30" eb="32">
      <t>コウゲキ</t>
    </rPh>
    <rPh sb="33" eb="35">
      <t>カイシ</t>
    </rPh>
    <phoneticPr fontId="1"/>
  </si>
  <si>
    <t>攻撃はリストの上から下までの一連の動作を順に行う。ターゲット不在の際は技は発動しないがリロード時間を受ける。</t>
    <rPh sb="0" eb="2">
      <t>コウゲキ</t>
    </rPh>
    <rPh sb="7" eb="8">
      <t>ウエ</t>
    </rPh>
    <rPh sb="10" eb="11">
      <t>シタ</t>
    </rPh>
    <rPh sb="14" eb="16">
      <t>イチレン</t>
    </rPh>
    <rPh sb="17" eb="19">
      <t>ドウサ</t>
    </rPh>
    <rPh sb="20" eb="21">
      <t>ジュン</t>
    </rPh>
    <rPh sb="22" eb="23">
      <t>オコナ</t>
    </rPh>
    <rPh sb="30" eb="32">
      <t>フザイ</t>
    </rPh>
    <rPh sb="33" eb="34">
      <t>サイ</t>
    </rPh>
    <rPh sb="35" eb="36">
      <t>ワザ</t>
    </rPh>
    <rPh sb="37" eb="39">
      <t>ハツドウ</t>
    </rPh>
    <rPh sb="47" eb="49">
      <t>ジカン</t>
    </rPh>
    <rPh sb="50" eb="51">
      <t>ウ</t>
    </rPh>
    <phoneticPr fontId="1"/>
  </si>
  <si>
    <t>リロードは[射程距離0m]のため、必ずターゲット不在でキャンセルになるが、そのリロード時間は必ず負うということになる。</t>
    <rPh sb="6" eb="10">
      <t>シャテイキョリ</t>
    </rPh>
    <rPh sb="17" eb="18">
      <t>カナラ</t>
    </rPh>
    <rPh sb="24" eb="26">
      <t>フザイ</t>
    </rPh>
    <rPh sb="43" eb="45">
      <t>ジカン</t>
    </rPh>
    <rPh sb="46" eb="47">
      <t>カナラ</t>
    </rPh>
    <rPh sb="48" eb="49">
      <t>オ</t>
    </rPh>
    <phoneticPr fontId="1"/>
  </si>
  <si>
    <t>速度500 攻撃力100+10*WLV</t>
    <rPh sb="0" eb="2">
      <t>ソクド</t>
    </rPh>
    <rPh sb="6" eb="9">
      <t>コウゲキリョク</t>
    </rPh>
    <phoneticPr fontId="1"/>
  </si>
  <si>
    <t>リロード時間 60秒-WLV*2</t>
    <rPh sb="4" eb="6">
      <t>ジカン</t>
    </rPh>
    <rPh sb="9" eb="10">
      <t>ビョウ</t>
    </rPh>
    <phoneticPr fontId="1"/>
  </si>
  <si>
    <t>dps(確認用)</t>
    <rPh sb="4" eb="7">
      <t>カクニンヨウ</t>
    </rPh>
    <phoneticPr fontId="1"/>
  </si>
  <si>
    <t>紅華は遠距離からは槍を投げつける。</t>
    <rPh sb="0" eb="1">
      <t>クレナイ</t>
    </rPh>
    <rPh sb="1" eb="2">
      <t>ハナ</t>
    </rPh>
    <rPh sb="9" eb="10">
      <t>ヤリ</t>
    </rPh>
    <phoneticPr fontId="1"/>
  </si>
  <si>
    <t>正義</t>
    <rPh sb="0" eb="2">
      <t>セイギ</t>
    </rPh>
    <phoneticPr fontId="1"/>
  </si>
  <si>
    <t>力</t>
    <rPh sb="0" eb="1">
      <t>チカラ</t>
    </rPh>
    <phoneticPr fontId="1"/>
  </si>
  <si>
    <t>003001.png</t>
    <phoneticPr fontId="1"/>
  </si>
  <si>
    <t>003002.png</t>
    <phoneticPr fontId="1"/>
  </si>
  <si>
    <t>003003.png</t>
    <phoneticPr fontId="1"/>
  </si>
  <si>
    <t>槍投げ</t>
    <rPh sb="0" eb="1">
      <t>ヤリ</t>
    </rPh>
    <rPh sb="1" eb="2">
      <t>ナ</t>
    </rPh>
    <phoneticPr fontId="1"/>
  </si>
  <si>
    <t>槍回し</t>
    <rPh sb="0" eb="1">
      <t>ヤリ</t>
    </rPh>
    <rPh sb="1" eb="2">
      <t>マワ</t>
    </rPh>
    <phoneticPr fontId="1"/>
  </si>
  <si>
    <t>槍突きorリロード</t>
    <rPh sb="0" eb="1">
      <t>ヤリ</t>
    </rPh>
    <rPh sb="1" eb="2">
      <t>ツ</t>
    </rPh>
    <phoneticPr fontId="1"/>
  </si>
  <si>
    <t>狙った敵を中心に360°槍をスイングして範囲内敵にダメージ</t>
    <rPh sb="0" eb="1">
      <t>ネラ</t>
    </rPh>
    <rPh sb="3" eb="4">
      <t>テキ</t>
    </rPh>
    <rPh sb="5" eb="7">
      <t>チュウシン</t>
    </rPh>
    <rPh sb="12" eb="13">
      <t>ヤリ</t>
    </rPh>
    <rPh sb="20" eb="23">
      <t>ハンイナイ</t>
    </rPh>
    <rPh sb="23" eb="24">
      <t>テキ</t>
    </rPh>
    <phoneticPr fontId="1"/>
  </si>
  <si>
    <t>上記の場合、槍発射→0.3秒→リロード0.7秒　がワンセットでループする。</t>
    <rPh sb="0" eb="2">
      <t>ジョウキ</t>
    </rPh>
    <rPh sb="3" eb="5">
      <t>バアイ</t>
    </rPh>
    <rPh sb="6" eb="7">
      <t>ヤリ</t>
    </rPh>
    <rPh sb="7" eb="9">
      <t>ハッシャ</t>
    </rPh>
    <rPh sb="13" eb="14">
      <t>ビョウ</t>
    </rPh>
    <rPh sb="22" eb="23">
      <t>ビョウ</t>
    </rPh>
    <phoneticPr fontId="1"/>
  </si>
  <si>
    <t>上記の場合、(槍回し→0.9秒)後、ターゲットがまだ8m以内にいれば槍突きを発動する。</t>
    <rPh sb="0" eb="2">
      <t>ジョウキ</t>
    </rPh>
    <rPh sb="3" eb="5">
      <t>バアイ</t>
    </rPh>
    <rPh sb="7" eb="9">
      <t>ヤリマワ</t>
    </rPh>
    <rPh sb="14" eb="15">
      <t>ビョウ</t>
    </rPh>
    <rPh sb="16" eb="17">
      <t>アト</t>
    </rPh>
    <rPh sb="28" eb="30">
      <t>イナイ</t>
    </rPh>
    <rPh sb="34" eb="35">
      <t>ヤリ</t>
    </rPh>
    <rPh sb="35" eb="36">
      <t>ツ</t>
    </rPh>
    <rPh sb="38" eb="40">
      <t>ハツドウ</t>
    </rPh>
    <phoneticPr fontId="1"/>
  </si>
  <si>
    <t>対象がいない場合、無効</t>
    <rPh sb="0" eb="2">
      <t>タイショウ</t>
    </rPh>
    <rPh sb="6" eb="8">
      <t>バアイ</t>
    </rPh>
    <rPh sb="9" eb="11">
      <t>ムコウ</t>
    </rPh>
    <phoneticPr fontId="1"/>
  </si>
  <si>
    <t>前衛に誰もいない場合、後衛の3人に与える。</t>
    <rPh sb="0" eb="2">
      <t>ゼンエイ</t>
    </rPh>
    <rPh sb="3" eb="4">
      <t>ダレ</t>
    </rPh>
    <rPh sb="8" eb="10">
      <t>バアイ</t>
    </rPh>
    <rPh sb="11" eb="13">
      <t>コウエイ</t>
    </rPh>
    <rPh sb="15" eb="16">
      <t>ニン</t>
    </rPh>
    <rPh sb="17" eb="18">
      <t>アタ</t>
    </rPh>
    <phoneticPr fontId="1"/>
  </si>
  <si>
    <t>槍が戻ってきて自身に接触して消滅するまで通常の攻撃ができない。</t>
    <rPh sb="0" eb="1">
      <t>ヤリ</t>
    </rPh>
    <rPh sb="2" eb="3">
      <t>モド</t>
    </rPh>
    <rPh sb="7" eb="9">
      <t>ジシン</t>
    </rPh>
    <rPh sb="10" eb="12">
      <t>セッショク</t>
    </rPh>
    <rPh sb="14" eb="16">
      <t>ショウメツ</t>
    </rPh>
    <rPh sb="20" eb="22">
      <t>ツウジョウ</t>
    </rPh>
    <rPh sb="23" eb="25">
      <t>コウゲキ</t>
    </rPh>
    <phoneticPr fontId="1"/>
  </si>
  <si>
    <t>女帝</t>
    <rPh sb="0" eb="2">
      <t>ジョテイ</t>
    </rPh>
    <phoneticPr fontId="1"/>
  </si>
  <si>
    <t>004001.png</t>
    <phoneticPr fontId="1"/>
  </si>
  <si>
    <t>004002.png</t>
    <phoneticPr fontId="1"/>
  </si>
  <si>
    <t>004003.png</t>
    <phoneticPr fontId="1"/>
  </si>
  <si>
    <t>ショットガン</t>
    <phoneticPr fontId="1"/>
  </si>
  <si>
    <t>リボン</t>
    <phoneticPr fontId="1"/>
  </si>
  <si>
    <t>狙った敵を中心に180°黄色い帯をスイングして範囲内敵にダメージ。命中すると75%の確率で3秒行動不能にする</t>
    <rPh sb="0" eb="1">
      <t>ネラ</t>
    </rPh>
    <rPh sb="3" eb="4">
      <t>テキ</t>
    </rPh>
    <rPh sb="5" eb="7">
      <t>チュウシン</t>
    </rPh>
    <rPh sb="12" eb="14">
      <t>キイロ</t>
    </rPh>
    <rPh sb="15" eb="16">
      <t>オビ</t>
    </rPh>
    <rPh sb="23" eb="26">
      <t>ハンイナイ</t>
    </rPh>
    <rPh sb="26" eb="27">
      <t>テキ</t>
    </rPh>
    <phoneticPr fontId="1"/>
  </si>
  <si>
    <t>ターゲットに対し4発を30度に広げて発射する、命中すると75%の確率で3秒行動不能にする</t>
    <rPh sb="6" eb="7">
      <t>タイ</t>
    </rPh>
    <rPh sb="9" eb="10">
      <t>ハツ</t>
    </rPh>
    <rPh sb="13" eb="14">
      <t>ド</t>
    </rPh>
    <rPh sb="15" eb="16">
      <t>ヒロ</t>
    </rPh>
    <rPh sb="18" eb="20">
      <t>ハッシャ</t>
    </rPh>
    <rPh sb="23" eb="25">
      <t>メイチュウ</t>
    </rPh>
    <rPh sb="32" eb="34">
      <t>カクリツ</t>
    </rPh>
    <rPh sb="36" eb="37">
      <t>ビョウ</t>
    </rPh>
    <rPh sb="37" eb="39">
      <t>コウドウ</t>
    </rPh>
    <rPh sb="39" eb="41">
      <t>フノウ</t>
    </rPh>
    <phoneticPr fontId="1"/>
  </si>
  <si>
    <t>上記の場合、(リボン→0.3秒)後、ターゲットがまだ8m以内にいればｼｮｯﾄｶﾞﾝを発動する。</t>
    <rPh sb="0" eb="2">
      <t>ジョウキ</t>
    </rPh>
    <rPh sb="3" eb="5">
      <t>バアイ</t>
    </rPh>
    <rPh sb="14" eb="15">
      <t>ビョウ</t>
    </rPh>
    <rPh sb="16" eb="17">
      <t>アト</t>
    </rPh>
    <rPh sb="28" eb="30">
      <t>イナイ</t>
    </rPh>
    <rPh sb="42" eb="44">
      <t>ハツドウ</t>
    </rPh>
    <phoneticPr fontId="1"/>
  </si>
  <si>
    <t>射程のある弾丸は敵に命中しなかった場合、射程の距離を進むと消える</t>
    <rPh sb="0" eb="2">
      <t>シャテイ</t>
    </rPh>
    <rPh sb="5" eb="7">
      <t>ダンガン</t>
    </rPh>
    <rPh sb="8" eb="9">
      <t>テキ</t>
    </rPh>
    <rPh sb="10" eb="12">
      <t>メイチュウ</t>
    </rPh>
    <rPh sb="17" eb="19">
      <t>バアイ</t>
    </rPh>
    <rPh sb="20" eb="22">
      <t>シャテイ</t>
    </rPh>
    <rPh sb="23" eb="25">
      <t>キョリ</t>
    </rPh>
    <rPh sb="26" eb="27">
      <t>スス</t>
    </rPh>
    <rPh sb="29" eb="30">
      <t>キ</t>
    </rPh>
    <phoneticPr fontId="1"/>
  </si>
  <si>
    <t>黄蘭は遠距離からは弾丸を4つづつ投げつける</t>
    <rPh sb="0" eb="2">
      <t>オウラ</t>
    </rPh>
    <rPh sb="3" eb="6">
      <t>エンキョリ</t>
    </rPh>
    <rPh sb="9" eb="11">
      <t>ダンガン</t>
    </rPh>
    <rPh sb="16" eb="17">
      <t>ナ</t>
    </rPh>
    <phoneticPr fontId="1"/>
  </si>
  <si>
    <t>近距離ではリボンを振り回す(帯状の描画)</t>
    <rPh sb="0" eb="3">
      <t>キンキョリ</t>
    </rPh>
    <rPh sb="9" eb="10">
      <t>フ</t>
    </rPh>
    <rPh sb="11" eb="12">
      <t>マワ</t>
    </rPh>
    <rPh sb="14" eb="15">
      <t>オビ</t>
    </rPh>
    <rPh sb="15" eb="16">
      <t>ジョウ</t>
    </rPh>
    <rPh sb="17" eb="19">
      <t>ビョウガ</t>
    </rPh>
    <phoneticPr fontId="1"/>
  </si>
  <si>
    <t>ターゲットに対し5発を35度に広げて発射する、命中すると75%の確率で3秒行動不能にする</t>
    <rPh sb="6" eb="7">
      <t>タイ</t>
    </rPh>
    <rPh sb="9" eb="10">
      <t>ハツ</t>
    </rPh>
    <rPh sb="13" eb="14">
      <t>ド</t>
    </rPh>
    <rPh sb="15" eb="16">
      <t>ヒロ</t>
    </rPh>
    <rPh sb="18" eb="20">
      <t>ハッシャ</t>
    </rPh>
    <rPh sb="23" eb="25">
      <t>メイチュウ</t>
    </rPh>
    <rPh sb="32" eb="34">
      <t>カクリツ</t>
    </rPh>
    <rPh sb="36" eb="37">
      <t>ビョウ</t>
    </rPh>
    <rPh sb="37" eb="39">
      <t>コウドウ</t>
    </rPh>
    <rPh sb="39" eb="41">
      <t>フノウ</t>
    </rPh>
    <phoneticPr fontId="1"/>
  </si>
  <si>
    <t>黄蘭から垂直上向きから左右に10度づつの二方向に黄色い帯が伸びる</t>
    <rPh sb="0" eb="2">
      <t>オウラ</t>
    </rPh>
    <rPh sb="4" eb="6">
      <t>スイチョク</t>
    </rPh>
    <rPh sb="6" eb="8">
      <t>ウエム</t>
    </rPh>
    <rPh sb="11" eb="13">
      <t>サユウ</t>
    </rPh>
    <rPh sb="16" eb="17">
      <t>ド</t>
    </rPh>
    <rPh sb="20" eb="23">
      <t>ニホウコウ</t>
    </rPh>
    <rPh sb="24" eb="26">
      <t>キイロ</t>
    </rPh>
    <rPh sb="27" eb="28">
      <t>オビ</t>
    </rPh>
    <rPh sb="29" eb="30">
      <t>ノ</t>
    </rPh>
    <phoneticPr fontId="1"/>
  </si>
  <si>
    <t>1秒後、黄蘭の近くから帯がランダムにゆっくり移動するショットガンの弾丸に変化してゆく</t>
    <rPh sb="1" eb="3">
      <t>ビョウゴ</t>
    </rPh>
    <rPh sb="4" eb="6">
      <t>オウラ</t>
    </rPh>
    <rPh sb="7" eb="8">
      <t>チカ</t>
    </rPh>
    <rPh sb="11" eb="12">
      <t>オビ</t>
    </rPh>
    <rPh sb="22" eb="24">
      <t>イドウ</t>
    </rPh>
    <rPh sb="33" eb="35">
      <t>ダンガン</t>
    </rPh>
    <rPh sb="36" eb="38">
      <t>ヘンカ</t>
    </rPh>
    <phoneticPr fontId="1"/>
  </si>
  <si>
    <t>貫通弾、持続弾の与えるダメージ</t>
    <rPh sb="0" eb="3">
      <t>カンツウダン</t>
    </rPh>
    <rPh sb="4" eb="7">
      <t>ジゾクダン</t>
    </rPh>
    <rPh sb="8" eb="9">
      <t>アタ</t>
    </rPh>
    <phoneticPr fontId="1"/>
  </si>
  <si>
    <t>同じ弾丸は、一度ダメージを与えた対象に対して0.2秒間はダメージを与えない</t>
    <rPh sb="0" eb="1">
      <t>オナ</t>
    </rPh>
    <rPh sb="2" eb="4">
      <t>ダンガン</t>
    </rPh>
    <rPh sb="6" eb="8">
      <t>イチド</t>
    </rPh>
    <rPh sb="13" eb="14">
      <t>アタ</t>
    </rPh>
    <rPh sb="16" eb="18">
      <t>タイショウ</t>
    </rPh>
    <rPh sb="19" eb="20">
      <t>タイ</t>
    </rPh>
    <rPh sb="25" eb="26">
      <t>ビョウ</t>
    </rPh>
    <rPh sb="26" eb="27">
      <t>アイダ</t>
    </rPh>
    <rPh sb="33" eb="34">
      <t>アタ</t>
    </rPh>
    <phoneticPr fontId="1"/>
  </si>
  <si>
    <t>例としてものすごく遅い球が動かない敵などに1秒間接触を続けていると5回ダメージを与える</t>
    <rPh sb="0" eb="1">
      <t>レイ</t>
    </rPh>
    <rPh sb="9" eb="10">
      <t>オソ</t>
    </rPh>
    <rPh sb="11" eb="12">
      <t>タマ</t>
    </rPh>
    <rPh sb="13" eb="14">
      <t>ウゴ</t>
    </rPh>
    <rPh sb="17" eb="18">
      <t>テキ</t>
    </rPh>
    <rPh sb="22" eb="24">
      <t>ビョウカン</t>
    </rPh>
    <rPh sb="24" eb="26">
      <t>セッショク</t>
    </rPh>
    <rPh sb="27" eb="28">
      <t>ツヅ</t>
    </rPh>
    <rPh sb="34" eb="35">
      <t>カイ</t>
    </rPh>
    <rPh sb="40" eb="41">
      <t>アタ</t>
    </rPh>
    <phoneticPr fontId="1"/>
  </si>
  <si>
    <t>体重</t>
    <rPh sb="0" eb="2">
      <t>タイジュウ</t>
    </rPh>
    <phoneticPr fontId="1"/>
  </si>
  <si>
    <t>踏み込み</t>
    <rPh sb="0" eb="1">
      <t>フ</t>
    </rPh>
    <rPh sb="2" eb="3">
      <t>コ</t>
    </rPh>
    <phoneticPr fontId="1"/>
  </si>
  <si>
    <t>この間黄蘭は攻撃できない</t>
    <rPh sb="2" eb="3">
      <t>アイダ</t>
    </rPh>
    <rPh sb="3" eb="5">
      <t>オウラ</t>
    </rPh>
    <rPh sb="6" eb="8">
      <t>コウゲキ</t>
    </rPh>
    <phoneticPr fontId="1"/>
  </si>
  <si>
    <t>敵を貫通する。射程まで飛んで消える。</t>
    <rPh sb="0" eb="1">
      <t>テキ</t>
    </rPh>
    <rPh sb="2" eb="4">
      <t>カンツウ</t>
    </rPh>
    <rPh sb="7" eb="9">
      <t>シャテイ</t>
    </rPh>
    <rPh sb="11" eb="12">
      <t>ト</t>
    </rPh>
    <rPh sb="14" eb="15">
      <t>キ</t>
    </rPh>
    <phoneticPr fontId="1"/>
  </si>
  <si>
    <t>速度- 攻撃力50+5*WLV</t>
    <rPh sb="0" eb="2">
      <t>ソクド</t>
    </rPh>
    <rPh sb="4" eb="7">
      <t>コウゲキリョク</t>
    </rPh>
    <phoneticPr fontId="1"/>
  </si>
  <si>
    <t>属性</t>
    <rPh sb="0" eb="2">
      <t>ゾクセイ</t>
    </rPh>
    <phoneticPr fontId="1"/>
  </si>
  <si>
    <t>緑</t>
    <rPh sb="0" eb="1">
      <t>ミドリ</t>
    </rPh>
    <phoneticPr fontId="1"/>
  </si>
  <si>
    <t>赤</t>
    <rPh sb="0" eb="1">
      <t>アカ</t>
    </rPh>
    <phoneticPr fontId="1"/>
  </si>
  <si>
    <t>黄</t>
    <rPh sb="0" eb="1">
      <t>キ</t>
    </rPh>
    <phoneticPr fontId="1"/>
  </si>
  <si>
    <t>青</t>
    <rPh sb="0" eb="1">
      <t>アオ</t>
    </rPh>
    <phoneticPr fontId="1"/>
  </si>
  <si>
    <t>武器の射程</t>
    <rPh sb="0" eb="2">
      <t>ブキ</t>
    </rPh>
    <rPh sb="3" eb="5">
      <t>シャテイ</t>
    </rPh>
    <phoneticPr fontId="1"/>
  </si>
  <si>
    <t>敵を貫通する。貫通するごとに攻撃力が2/3になる。射程まで飛んで消える。</t>
    <rPh sb="0" eb="1">
      <t>テキ</t>
    </rPh>
    <rPh sb="2" eb="4">
      <t>カンツウ</t>
    </rPh>
    <rPh sb="7" eb="9">
      <t>カンツウ</t>
    </rPh>
    <rPh sb="14" eb="17">
      <t>コウゲキリョク</t>
    </rPh>
    <rPh sb="25" eb="27">
      <t>シャテイ</t>
    </rPh>
    <rPh sb="29" eb="30">
      <t>ト</t>
    </rPh>
    <rPh sb="32" eb="33">
      <t>キ</t>
    </rPh>
    <phoneticPr fontId="1"/>
  </si>
  <si>
    <t>命中場所を中心に半径2mにダメージ　命中しなくても敵に１ｍまで近づくか18m進むと爆発する。</t>
  </si>
  <si>
    <t>目標方向に対して左右に８°づつ2発発射する。命中場所を中心に半径2mにダメージ　命中しなくても敵に１ｍまで近づくか18m進むと爆発する。</t>
    <rPh sb="0" eb="2">
      <t>モクヒョウ</t>
    </rPh>
    <rPh sb="2" eb="4">
      <t>ホウコウ</t>
    </rPh>
    <rPh sb="5" eb="6">
      <t>タイ</t>
    </rPh>
    <rPh sb="8" eb="10">
      <t>サユウ</t>
    </rPh>
    <rPh sb="16" eb="17">
      <t>ハツ</t>
    </rPh>
    <rPh sb="17" eb="19">
      <t>ハッシャ</t>
    </rPh>
    <phoneticPr fontId="1"/>
  </si>
  <si>
    <t>命中場所を中心に半径3mにダメージ　命中しなくても敵に１ｍまで近づくか18m進むと爆発する。</t>
    <rPh sb="0" eb="2">
      <t>メイチュウ</t>
    </rPh>
    <rPh sb="2" eb="4">
      <t>バショ</t>
    </rPh>
    <rPh sb="5" eb="7">
      <t>チュウシン</t>
    </rPh>
    <rPh sb="8" eb="10">
      <t>ハンケイ</t>
    </rPh>
    <rPh sb="18" eb="20">
      <t>メイチュウ</t>
    </rPh>
    <rPh sb="25" eb="26">
      <t>テキ</t>
    </rPh>
    <rPh sb="31" eb="32">
      <t>チカ</t>
    </rPh>
    <rPh sb="38" eb="39">
      <t>スス</t>
    </rPh>
    <rPh sb="41" eb="43">
      <t>バクハツ</t>
    </rPh>
    <phoneticPr fontId="1"/>
  </si>
  <si>
    <t>弾丸速度(秒速Xm)</t>
    <rPh sb="0" eb="4">
      <t>ダンガンソクド</t>
    </rPh>
    <rPh sb="5" eb="7">
      <t>ビョウソク</t>
    </rPh>
    <phoneticPr fontId="1"/>
  </si>
  <si>
    <t>弾丸は速度2、攻撃力20%、命中すると100%の確率で3秒行動不能にする</t>
    <rPh sb="0" eb="2">
      <t>ダンガン</t>
    </rPh>
    <rPh sb="3" eb="5">
      <t>ソクド</t>
    </rPh>
    <rPh sb="7" eb="10">
      <t>コウゲキリョク</t>
    </rPh>
    <phoneticPr fontId="1"/>
  </si>
  <si>
    <t>槍が4ｍの長さになり大回転しながら前方16mまで速度5で進んで速度10で戻ってくる</t>
    <rPh sb="0" eb="1">
      <t>ヤリ</t>
    </rPh>
    <rPh sb="5" eb="6">
      <t>ナガ</t>
    </rPh>
    <rPh sb="10" eb="13">
      <t>ダイカイテン</t>
    </rPh>
    <rPh sb="17" eb="19">
      <t>ゼンポウ</t>
    </rPh>
    <rPh sb="24" eb="26">
      <t>ソクド</t>
    </rPh>
    <rPh sb="28" eb="29">
      <t>スス</t>
    </rPh>
    <rPh sb="31" eb="33">
      <t>ソクド</t>
    </rPh>
    <rPh sb="36" eb="37">
      <t>モド</t>
    </rPh>
    <phoneticPr fontId="1"/>
  </si>
  <si>
    <t>剣が2秒かけて蒼樹を中心に周囲を360度回転する、その後剣がターゲットに向かって飛んでいく</t>
    <rPh sb="0" eb="1">
      <t>ケン</t>
    </rPh>
    <rPh sb="3" eb="4">
      <t>ビョウ</t>
    </rPh>
    <rPh sb="7" eb="9">
      <t>アオキ</t>
    </rPh>
    <rPh sb="10" eb="12">
      <t>チュウシン</t>
    </rPh>
    <rPh sb="13" eb="15">
      <t>シュウイ</t>
    </rPh>
    <rPh sb="19" eb="20">
      <t>ド</t>
    </rPh>
    <rPh sb="20" eb="22">
      <t>カイテン</t>
    </rPh>
    <rPh sb="27" eb="28">
      <t>アト</t>
    </rPh>
    <rPh sb="28" eb="29">
      <t>ケン</t>
    </rPh>
    <rPh sb="36" eb="37">
      <t>ム</t>
    </rPh>
    <rPh sb="40" eb="41">
      <t>ト</t>
    </rPh>
    <phoneticPr fontId="1"/>
  </si>
  <si>
    <t>速度38 攻撃力100+10*WLV</t>
    <rPh sb="0" eb="2">
      <t>ソクド</t>
    </rPh>
    <rPh sb="5" eb="8">
      <t>コウゲキリョク</t>
    </rPh>
    <phoneticPr fontId="1"/>
  </si>
  <si>
    <t>15秒に一回、3秒間自身のリロード速度を1/3にする　Quickdraw</t>
    <rPh sb="2" eb="3">
      <t>ビョウ</t>
    </rPh>
    <rPh sb="4" eb="6">
      <t>イッカイ</t>
    </rPh>
    <rPh sb="8" eb="10">
      <t>ビョウカン</t>
    </rPh>
    <rPh sb="10" eb="12">
      <t>ジシン</t>
    </rPh>
    <rPh sb="17" eb="19">
      <t>ソクド</t>
    </rPh>
    <phoneticPr fontId="1"/>
  </si>
  <si>
    <t>25秒に一回、味方全員の攻撃命中率を10%上昇する。WLV秒持続する。　Accuracy</t>
    <rPh sb="2" eb="3">
      <t>ビョウ</t>
    </rPh>
    <rPh sb="4" eb="6">
      <t>イッカイ</t>
    </rPh>
    <rPh sb="7" eb="9">
      <t>ミカタ</t>
    </rPh>
    <rPh sb="9" eb="11">
      <t>ゼンイン</t>
    </rPh>
    <rPh sb="12" eb="17">
      <t>コウゲキメイチュウリツ</t>
    </rPh>
    <rPh sb="21" eb="23">
      <t>ジョウショウ</t>
    </rPh>
    <rPh sb="29" eb="30">
      <t>ビョウ</t>
    </rPh>
    <rPh sb="30" eb="32">
      <t>ジゾク</t>
    </rPh>
    <phoneticPr fontId="1"/>
  </si>
  <si>
    <t>黄蘭が後列にいるとき、後衛にいるキャラクターの攻撃命中率がWLV+10%上がる。黄蘭が前列に移動すると消える。 Encouragement</t>
    <rPh sb="0" eb="2">
      <t>オウラ</t>
    </rPh>
    <rPh sb="3" eb="5">
      <t>コウレツ</t>
    </rPh>
    <rPh sb="11" eb="13">
      <t>コウエイ</t>
    </rPh>
    <rPh sb="23" eb="25">
      <t>コウゲキ</t>
    </rPh>
    <rPh sb="25" eb="28">
      <t>メイチュウリツ</t>
    </rPh>
    <rPh sb="36" eb="37">
      <t>ア</t>
    </rPh>
    <rPh sb="40" eb="42">
      <t>オウラ</t>
    </rPh>
    <rPh sb="43" eb="45">
      <t>ゼンレツ</t>
    </rPh>
    <rPh sb="46" eb="48">
      <t>イドウ</t>
    </rPh>
    <rPh sb="51" eb="52">
      <t>キ</t>
    </rPh>
    <phoneticPr fontId="1"/>
  </si>
  <si>
    <t>黄蘭が前衛にいるとき、後衛にいるキャラクタ一人につき攻撃力が15%上がり、リロード速度が5％短縮される。黄蘭が後列へ移動すると消える。 Dreadnought</t>
    <rPh sb="0" eb="2">
      <t>オウラ</t>
    </rPh>
    <rPh sb="3" eb="5">
      <t>ゼンエイ</t>
    </rPh>
    <rPh sb="11" eb="13">
      <t>コウエイ</t>
    </rPh>
    <rPh sb="21" eb="23">
      <t>ヒトリ</t>
    </rPh>
    <rPh sb="26" eb="29">
      <t>コウゲキリョク</t>
    </rPh>
    <rPh sb="33" eb="34">
      <t>ア</t>
    </rPh>
    <rPh sb="41" eb="43">
      <t>ソクド</t>
    </rPh>
    <rPh sb="46" eb="48">
      <t>タンシュク</t>
    </rPh>
    <rPh sb="52" eb="54">
      <t>オウラ</t>
    </rPh>
    <rPh sb="55" eb="57">
      <t>コウレツ</t>
    </rPh>
    <rPh sb="58" eb="60">
      <t>イドウ</t>
    </rPh>
    <rPh sb="63" eb="64">
      <t>キ</t>
    </rPh>
    <phoneticPr fontId="1"/>
  </si>
  <si>
    <t>12秒に一回、10+WLV*3ぶんのダメージを吸収するバリアを自身とあと2人の前衛キャラクターに与える。耐久力を越えるダメージを受けるか、8秒で消える。</t>
    <rPh sb="2" eb="3">
      <t>ビョウ</t>
    </rPh>
    <rPh sb="4" eb="6">
      <t>イッカイ</t>
    </rPh>
    <rPh sb="23" eb="25">
      <t>キュウシュウ</t>
    </rPh>
    <rPh sb="31" eb="33">
      <t>ジシン</t>
    </rPh>
    <rPh sb="37" eb="38">
      <t>ニン</t>
    </rPh>
    <rPh sb="39" eb="41">
      <t>ゼンエイ</t>
    </rPh>
    <rPh sb="48" eb="49">
      <t>アタ</t>
    </rPh>
    <rPh sb="52" eb="55">
      <t>タイキュウリョク</t>
    </rPh>
    <rPh sb="56" eb="57">
      <t>コ</t>
    </rPh>
    <rPh sb="64" eb="65">
      <t>ウ</t>
    </rPh>
    <rPh sb="70" eb="71">
      <t>ビョウ</t>
    </rPh>
    <rPh sb="72" eb="73">
      <t>キ</t>
    </rPh>
    <phoneticPr fontId="1"/>
  </si>
  <si>
    <t>12秒に一回、前衛のキャラクタ2人に10+WLV*3ぶんのダメージを吸収するバリアを得る。耐久力を越えるダメージを受けるか、8秒で消える。</t>
    <rPh sb="2" eb="3">
      <t>ビョウ</t>
    </rPh>
    <rPh sb="4" eb="6">
      <t>イッカイ</t>
    </rPh>
    <rPh sb="7" eb="9">
      <t>ゼンエイ</t>
    </rPh>
    <rPh sb="16" eb="17">
      <t>ニン</t>
    </rPh>
    <rPh sb="34" eb="36">
      <t>キュウシュウ</t>
    </rPh>
    <rPh sb="42" eb="43">
      <t>エ</t>
    </rPh>
    <rPh sb="45" eb="48">
      <t>タイキュウリョク</t>
    </rPh>
    <rPh sb="49" eb="50">
      <t>コ</t>
    </rPh>
    <rPh sb="57" eb="58">
      <t>ウ</t>
    </rPh>
    <rPh sb="63" eb="64">
      <t>ビョウ</t>
    </rPh>
    <rPh sb="65" eb="66">
      <t>キ</t>
    </rPh>
    <phoneticPr fontId="1"/>
  </si>
  <si>
    <t>最も近いターゲット周辺に衝撃を与えふっとばす。貫通。3mで消える。</t>
    <rPh sb="0" eb="1">
      <t>モット</t>
    </rPh>
    <rPh sb="2" eb="3">
      <t>チカ</t>
    </rPh>
    <rPh sb="9" eb="11">
      <t>シュウヘン</t>
    </rPh>
    <rPh sb="12" eb="14">
      <t>ショウゲキ</t>
    </rPh>
    <rPh sb="15" eb="16">
      <t>アタ</t>
    </rPh>
    <rPh sb="23" eb="25">
      <t>カンツウ</t>
    </rPh>
    <rPh sb="29" eb="30">
      <t>キ</t>
    </rPh>
    <phoneticPr fontId="1"/>
  </si>
  <si>
    <t>敵に命中しても消えず、10mまで飛ぶ。</t>
    <rPh sb="0" eb="1">
      <t>テキ</t>
    </rPh>
    <rPh sb="2" eb="4">
      <t>メイチュウ</t>
    </rPh>
    <rPh sb="7" eb="8">
      <t>キ</t>
    </rPh>
    <rPh sb="16" eb="17">
      <t>ト</t>
    </rPh>
    <phoneticPr fontId="1"/>
  </si>
  <si>
    <t>それを0.5秒ごとに8回繰り返す。回転している剣がある間は、通常攻撃を行えない。0.5秒ごとに8回なのでつまり4秒間。</t>
    <rPh sb="6" eb="7">
      <t>ビョウ</t>
    </rPh>
    <rPh sb="11" eb="12">
      <t>カイ</t>
    </rPh>
    <rPh sb="12" eb="13">
      <t>ク</t>
    </rPh>
    <rPh sb="14" eb="15">
      <t>カエ</t>
    </rPh>
    <rPh sb="17" eb="19">
      <t>カイテン</t>
    </rPh>
    <rPh sb="23" eb="24">
      <t>ケン</t>
    </rPh>
    <rPh sb="27" eb="28">
      <t>アイダ</t>
    </rPh>
    <rPh sb="30" eb="34">
      <t>ツウジョウコウゲキ</t>
    </rPh>
    <rPh sb="35" eb="36">
      <t>オコナ</t>
    </rPh>
    <rPh sb="43" eb="44">
      <t>ビョウ</t>
    </rPh>
    <rPh sb="48" eb="49">
      <t>カイ</t>
    </rPh>
    <rPh sb="56" eb="58">
      <t>ビョウカン</t>
    </rPh>
    <phoneticPr fontId="1"/>
  </si>
  <si>
    <t>ターゲットに対し4発を15度に広げて発射する、それぞれの弾丸がランダムに±5°ブレる。命中すると75%の確率で3秒行動不能にする</t>
    <rPh sb="6" eb="7">
      <t>タイ</t>
    </rPh>
    <rPh sb="9" eb="10">
      <t>ハツ</t>
    </rPh>
    <rPh sb="13" eb="14">
      <t>ド</t>
    </rPh>
    <rPh sb="15" eb="16">
      <t>ヒロ</t>
    </rPh>
    <rPh sb="18" eb="20">
      <t>ハッシャ</t>
    </rPh>
    <rPh sb="28" eb="30">
      <t>ダンガン</t>
    </rPh>
    <rPh sb="43" eb="45">
      <t>メイチュウ</t>
    </rPh>
    <rPh sb="52" eb="54">
      <t>カクリツ</t>
    </rPh>
    <rPh sb="56" eb="57">
      <t>ビョウ</t>
    </rPh>
    <rPh sb="57" eb="59">
      <t>コウドウ</t>
    </rPh>
    <rPh sb="59" eb="61">
      <t>フノウ</t>
    </rPh>
    <phoneticPr fontId="1"/>
  </si>
  <si>
    <t>ターゲットに対し4発を15度に広げて発射する、それぞれの弾丸がランダムに±5°ブレる。命中すると75%の確率で3秒行動不能にする</t>
    <rPh sb="6" eb="7">
      <t>タイ</t>
    </rPh>
    <rPh sb="9" eb="10">
      <t>ハツ</t>
    </rPh>
    <rPh sb="13" eb="14">
      <t>ド</t>
    </rPh>
    <rPh sb="15" eb="16">
      <t>ヒロ</t>
    </rPh>
    <rPh sb="18" eb="20">
      <t>ハッシャ</t>
    </rPh>
    <rPh sb="43" eb="45">
      <t>メイチュウ</t>
    </rPh>
    <rPh sb="52" eb="54">
      <t>カクリツ</t>
    </rPh>
    <rPh sb="56" eb="57">
      <t>ビョウ</t>
    </rPh>
    <rPh sb="57" eb="59">
      <t>コウドウ</t>
    </rPh>
    <rPh sb="59" eb="61">
      <t>フノウ</t>
    </rPh>
    <phoneticPr fontId="1"/>
  </si>
  <si>
    <t>ターゲットに対し4発を15度に広げて発射する、それぞれの弾丸がランダムに±5°ブレる。命中すると80%の確率で3秒行動不能にする</t>
    <rPh sb="6" eb="7">
      <t>タイ</t>
    </rPh>
    <rPh sb="9" eb="10">
      <t>ハツ</t>
    </rPh>
    <rPh sb="13" eb="14">
      <t>ド</t>
    </rPh>
    <rPh sb="15" eb="16">
      <t>ヒロ</t>
    </rPh>
    <rPh sb="18" eb="20">
      <t>ハッシャ</t>
    </rPh>
    <rPh sb="43" eb="45">
      <t>メイチュウ</t>
    </rPh>
    <rPh sb="52" eb="54">
      <t>カクリツ</t>
    </rPh>
    <rPh sb="56" eb="57">
      <t>ビョウ</t>
    </rPh>
    <rPh sb="57" eb="59">
      <t>コウドウ</t>
    </rPh>
    <rPh sb="59" eb="61">
      <t>フノウ</t>
    </rPh>
    <phoneticPr fontId="1"/>
  </si>
  <si>
    <t>ターゲットに対し5発を20度に広げて発射する、それぞれの弾丸がランダムに±5°ブレる。命中すると80%の確率で3秒行動不能にする</t>
    <rPh sb="6" eb="7">
      <t>タイ</t>
    </rPh>
    <rPh sb="9" eb="10">
      <t>ハツ</t>
    </rPh>
    <rPh sb="13" eb="14">
      <t>ド</t>
    </rPh>
    <rPh sb="15" eb="16">
      <t>ヒロ</t>
    </rPh>
    <rPh sb="18" eb="20">
      <t>ハッシャ</t>
    </rPh>
    <rPh sb="43" eb="45">
      <t>メイチュウ</t>
    </rPh>
    <rPh sb="52" eb="54">
      <t>カクリツ</t>
    </rPh>
    <rPh sb="56" eb="57">
      <t>ビョウ</t>
    </rPh>
    <rPh sb="57" eb="59">
      <t>コウドウ</t>
    </rPh>
    <rPh sb="59" eb="61">
      <t>フノウ</t>
    </rPh>
    <phoneticPr fontId="1"/>
  </si>
  <si>
    <t>ターゲットに対し5発を20度に広げて発射する、それぞれの弾丸がランダムに±5°ブレる。命中すると90%の確率で3秒行動不能にする</t>
    <rPh sb="6" eb="7">
      <t>タイ</t>
    </rPh>
    <rPh sb="9" eb="10">
      <t>ハツ</t>
    </rPh>
    <rPh sb="13" eb="14">
      <t>ド</t>
    </rPh>
    <rPh sb="15" eb="16">
      <t>ヒロ</t>
    </rPh>
    <rPh sb="18" eb="20">
      <t>ハッシャ</t>
    </rPh>
    <rPh sb="43" eb="45">
      <t>メイチュウ</t>
    </rPh>
    <rPh sb="52" eb="54">
      <t>カクリツ</t>
    </rPh>
    <rPh sb="56" eb="57">
      <t>ビョウ</t>
    </rPh>
    <rPh sb="57" eb="59">
      <t>コウドウ</t>
    </rPh>
    <rPh sb="59" eb="61">
      <t>フノウ</t>
    </rPh>
    <phoneticPr fontId="1"/>
  </si>
  <si>
    <t>それぞれの弾丸がランダムに±5°ブレる。</t>
    <phoneticPr fontId="1"/>
  </si>
  <si>
    <t>雑魚敵に対して貫通能力を持つ。貫通１　それぞれの弾丸がランダムに±3°ブレる。</t>
    <rPh sb="0" eb="3">
      <t>ザコテキ</t>
    </rPh>
    <rPh sb="4" eb="5">
      <t>タイ</t>
    </rPh>
    <rPh sb="7" eb="9">
      <t>カンツウ</t>
    </rPh>
    <rPh sb="9" eb="11">
      <t>ノウリョク</t>
    </rPh>
    <rPh sb="12" eb="13">
      <t>モ</t>
    </rPh>
    <rPh sb="15" eb="17">
      <t>カンツウ</t>
    </rPh>
    <phoneticPr fontId="1"/>
  </si>
  <si>
    <t>それぞれの弾丸がランダムに±10°ブレる。</t>
    <phoneticPr fontId="1"/>
  </si>
  <si>
    <t>雑魚敵に対して貫通能力を持つ。貫通１　それぞれの弾丸がランダムに±10°ブレる。</t>
    <rPh sb="0" eb="3">
      <t>ザコテキ</t>
    </rPh>
    <rPh sb="4" eb="5">
      <t>タイ</t>
    </rPh>
    <rPh sb="7" eb="9">
      <t>カンツウ</t>
    </rPh>
    <rPh sb="9" eb="11">
      <t>ノウリョク</t>
    </rPh>
    <rPh sb="12" eb="13">
      <t>モ</t>
    </rPh>
    <rPh sb="15" eb="17">
      <t>カンツウ</t>
    </rPh>
    <phoneticPr fontId="1"/>
  </si>
  <si>
    <t>敵を貫通する。貫通するごとに攻撃力が2/3になる。射程まで飛んで消える。弾道がランダムに±10°ブレる。</t>
    <rPh sb="0" eb="1">
      <t>テキ</t>
    </rPh>
    <rPh sb="2" eb="4">
      <t>カンツウ</t>
    </rPh>
    <rPh sb="7" eb="9">
      <t>カンツウ</t>
    </rPh>
    <rPh sb="14" eb="17">
      <t>コウゲキリョク</t>
    </rPh>
    <rPh sb="25" eb="27">
      <t>シャテイ</t>
    </rPh>
    <rPh sb="29" eb="30">
      <t>ト</t>
    </rPh>
    <rPh sb="32" eb="33">
      <t>キ</t>
    </rPh>
    <rPh sb="36" eb="38">
      <t>ダンドウ</t>
    </rPh>
    <phoneticPr fontId="1"/>
  </si>
  <si>
    <t>敵を貫通する。貫通するごとに攻撃力が2/3になる。射程まで飛んで消える。弾道がランダムに±10°ブレる。</t>
    <rPh sb="0" eb="1">
      <t>テキ</t>
    </rPh>
    <rPh sb="2" eb="4">
      <t>カンツウ</t>
    </rPh>
    <rPh sb="7" eb="9">
      <t>カンツウ</t>
    </rPh>
    <rPh sb="14" eb="17">
      <t>コウゲキリョク</t>
    </rPh>
    <rPh sb="25" eb="27">
      <t>シャテイ</t>
    </rPh>
    <rPh sb="29" eb="30">
      <t>ト</t>
    </rPh>
    <rPh sb="32" eb="33">
      <t>キ</t>
    </rPh>
    <phoneticPr fontId="1"/>
  </si>
  <si>
    <t>１回目は1/100です。２回目は1/99、３回目は1/98という風に確率が</t>
  </si>
  <si>
    <t>上がってゆき、いつか当選するとレベルアップとなります。</t>
  </si>
  <si>
    <t>レベルアップするとその時の前衛後衛配置によって</t>
  </si>
  <si>
    <t>どちらかのレベルが上がります。</t>
  </si>
  <si>
    <t>次のレベルに上がるために必要なexp</t>
  </si>
  <si>
    <t>125←レベル1から２に上げるときに必要な経験値</t>
  </si>
  <si>
    <t>13以降</t>
  </si>
  <si>
    <t>経験値が図の値になると、その分の経験値を消費してレベルが上がる。</t>
  </si>
  <si>
    <t>レベル１の時に戦闘で300の経験値を得たら、レベルが２になって経験値は250減り、残り50になる。</t>
  </si>
  <si>
    <t>レベルが上がると最大生命力、最大精神力、攻撃力が元の値の5%上昇する。</t>
  </si>
  <si>
    <t>近接/遠隔攻撃レベル それぞれ1から始まり最大7</t>
  </si>
  <si>
    <t>各キャラクターごとに１秒に１回ガチャを回します。</t>
  </si>
  <si>
    <t>前衛配置→近接攻撃レベル　後衛配置→遠隔攻撃レベル</t>
  </si>
  <si>
    <t>どちらかのレベルがすでに7であればもう一方のレベルが上がります。</t>
  </si>
  <si>
    <t>装備品などによって一時的にレベルが上がっている場合は除く。</t>
  </si>
  <si>
    <t>攻撃レベルが一度あがると確率はリセットされます。</t>
  </si>
  <si>
    <t>攻撃レベルが1回上がると、次の抽選確率は1/200になります。</t>
  </si>
  <si>
    <t>攻撃レベルが1回上がると、基本攻撃力が元の値の10%上昇します。</t>
  </si>
  <si>
    <t>攻撃レベルが1回上がると、リロード速度が3上昇します。</t>
  </si>
  <si>
    <t>攻撃レベルの上がった回数</t>
  </si>
  <si>
    <t>抽選確率分母開始値</t>
  </si>
  <si>
    <t>編成中メンバーから、そのキャラクターに向けられた友好度の合計値</t>
    <rPh sb="0" eb="3">
      <t>ヘンセイチュウ</t>
    </rPh>
    <rPh sb="19" eb="20">
      <t>ム</t>
    </rPh>
    <rPh sb="24" eb="27">
      <t>ユウコウド</t>
    </rPh>
    <rPh sb="28" eb="31">
      <t>ゴウケイチ</t>
    </rPh>
    <phoneticPr fontId="1"/>
  </si>
  <si>
    <t>各キャラが持つ、他キャラ個々への友好度。-10から+25までの値を取る</t>
    <rPh sb="0" eb="1">
      <t>カク</t>
    </rPh>
    <rPh sb="5" eb="6">
      <t>モ</t>
    </rPh>
    <rPh sb="8" eb="9">
      <t>ホカ</t>
    </rPh>
    <rPh sb="12" eb="14">
      <t>ココ</t>
    </rPh>
    <rPh sb="16" eb="19">
      <t>ユウコウド</t>
    </rPh>
    <rPh sb="31" eb="32">
      <t>アタイ</t>
    </rPh>
    <rPh sb="33" eb="34">
      <t>ト</t>
    </rPh>
    <phoneticPr fontId="1"/>
  </si>
  <si>
    <t>戦闘中、誰かが必殺技を発動すると</t>
    <rPh sb="0" eb="3">
      <t>セントウチュウ</t>
    </rPh>
    <rPh sb="4" eb="5">
      <t>ダレ</t>
    </rPh>
    <rPh sb="7" eb="10">
      <t>ヒッサツワザ</t>
    </rPh>
    <rPh sb="11" eb="13">
      <t>ハツドウ</t>
    </rPh>
    <phoneticPr fontId="1"/>
  </si>
  <si>
    <t>友好度+10%の確率で連携スタンバイOKとなる</t>
    <rPh sb="0" eb="3">
      <t>ユウコウド</t>
    </rPh>
    <rPh sb="8" eb="10">
      <t>カクリツ</t>
    </rPh>
    <rPh sb="11" eb="13">
      <t>レンケイ</t>
    </rPh>
    <phoneticPr fontId="1"/>
  </si>
  <si>
    <t>そのキャラクターに対する友好度が高い順に判定を行う。</t>
    <rPh sb="9" eb="10">
      <t>タイ</t>
    </rPh>
    <rPh sb="12" eb="15">
      <t>ユウコウド</t>
    </rPh>
    <rPh sb="16" eb="17">
      <t>タカ</t>
    </rPh>
    <rPh sb="18" eb="19">
      <t>ジュン</t>
    </rPh>
    <rPh sb="20" eb="22">
      <t>ハンテイ</t>
    </rPh>
    <rPh sb="23" eb="24">
      <t>オコナ</t>
    </rPh>
    <phoneticPr fontId="1"/>
  </si>
  <si>
    <t>スタンバイOKになったものは友好度が高い順に4秒ごとに消耗なしに必殺技を発動できる。</t>
    <rPh sb="14" eb="17">
      <t>ユウコウド</t>
    </rPh>
    <rPh sb="18" eb="19">
      <t>タカ</t>
    </rPh>
    <rPh sb="20" eb="21">
      <t>ジュン</t>
    </rPh>
    <rPh sb="23" eb="24">
      <t>ビョウ</t>
    </rPh>
    <rPh sb="27" eb="29">
      <t>ショウモウ</t>
    </rPh>
    <rPh sb="32" eb="35">
      <t>ヒッサツワザ</t>
    </rPh>
    <rPh sb="36" eb="38">
      <t>ハツドウ</t>
    </rPh>
    <phoneticPr fontId="1"/>
  </si>
  <si>
    <t>自身が必殺技を出した直後だった、等で必殺技が発動中の場合は発動しない。</t>
    <rPh sb="0" eb="2">
      <t>ジシン</t>
    </rPh>
    <rPh sb="3" eb="6">
      <t>ヒッサツワザ</t>
    </rPh>
    <rPh sb="7" eb="8">
      <t>ダ</t>
    </rPh>
    <rPh sb="10" eb="12">
      <t>チョクゴ</t>
    </rPh>
    <rPh sb="16" eb="17">
      <t>ナド</t>
    </rPh>
    <rPh sb="18" eb="21">
      <t>ヒッサツワザ</t>
    </rPh>
    <rPh sb="22" eb="25">
      <t>ハツドウチュウ</t>
    </rPh>
    <rPh sb="26" eb="28">
      <t>バアイ</t>
    </rPh>
    <rPh sb="29" eb="31">
      <t>ハツドウ</t>
    </rPh>
    <phoneticPr fontId="1"/>
  </si>
  <si>
    <t>親愛度が1以上の場合、そのキャラクターの最大生命力、最大精神力、攻撃力が親愛度％上昇する。最大50%</t>
    <rPh sb="0" eb="3">
      <t>シンアイド</t>
    </rPh>
    <rPh sb="5" eb="7">
      <t>イジョウ</t>
    </rPh>
    <rPh sb="8" eb="10">
      <t>バアイ</t>
    </rPh>
    <rPh sb="20" eb="22">
      <t>サイダイ</t>
    </rPh>
    <rPh sb="22" eb="25">
      <t>セイメイリョク</t>
    </rPh>
    <rPh sb="26" eb="28">
      <t>サイダイ</t>
    </rPh>
    <rPh sb="28" eb="31">
      <t>セイシンリョク</t>
    </rPh>
    <rPh sb="32" eb="35">
      <t>コウゲキリョク</t>
    </rPh>
    <rPh sb="36" eb="38">
      <t>シンアイ</t>
    </rPh>
    <rPh sb="38" eb="39">
      <t>ド</t>
    </rPh>
    <rPh sb="40" eb="42">
      <t>ジョウショウ</t>
    </rPh>
    <rPh sb="45" eb="47">
      <t>サイダイ</t>
    </rPh>
    <phoneticPr fontId="1"/>
  </si>
  <si>
    <t>友好度詳細</t>
    <rPh sb="0" eb="3">
      <t>ユウコウド</t>
    </rPh>
    <rPh sb="3" eb="5">
      <t>ショウサイ</t>
    </rPh>
    <phoneticPr fontId="1"/>
  </si>
  <si>
    <t>同時に編成したことのないキャラクターは表示されない。</t>
    <rPh sb="0" eb="2">
      <t>ドウジ</t>
    </rPh>
    <rPh sb="3" eb="5">
      <t>ヘンセイ</t>
    </rPh>
    <rPh sb="19" eb="21">
      <t>ヒョウジ</t>
    </rPh>
    <phoneticPr fontId="1"/>
  </si>
  <si>
    <t>そのキャラクターがこれまで(前の周回含む)に同時に編成したことのある各キャラクターへの友好度がずらっと並ぶ。</t>
    <rPh sb="14" eb="15">
      <t>マエ</t>
    </rPh>
    <rPh sb="16" eb="18">
      <t>シュウカイ</t>
    </rPh>
    <rPh sb="18" eb="19">
      <t>フク</t>
    </rPh>
    <rPh sb="22" eb="24">
      <t>ドウジ</t>
    </rPh>
    <rPh sb="25" eb="27">
      <t>ヘンセイ</t>
    </rPh>
    <rPh sb="34" eb="35">
      <t>カク</t>
    </rPh>
    <rPh sb="43" eb="46">
      <t>ユウコウド</t>
    </rPh>
    <rPh sb="51" eb="52">
      <t>ナラ</t>
    </rPh>
    <phoneticPr fontId="1"/>
  </si>
  <si>
    <t>同時に編成したことのないキャラクターでも0以外の値を取ることがある。</t>
    <rPh sb="0" eb="2">
      <t>ドウジ</t>
    </rPh>
    <rPh sb="3" eb="5">
      <t>ヘンセイ</t>
    </rPh>
    <rPh sb="21" eb="23">
      <t>イガイ</t>
    </rPh>
    <rPh sb="24" eb="25">
      <t>アタイ</t>
    </rPh>
    <rPh sb="26" eb="27">
      <t>ト</t>
    </rPh>
    <phoneticPr fontId="1"/>
  </si>
  <si>
    <t>キャラクターのレベルが上がると友好度ボーナスが1もらえる。</t>
    <rPh sb="11" eb="12">
      <t>ア</t>
    </rPh>
    <rPh sb="15" eb="18">
      <t>ユウコウド</t>
    </rPh>
    <phoneticPr fontId="1"/>
  </si>
  <si>
    <t>これまでに編成したことのある誰かに向けての友好度を上昇させることができる。</t>
    <rPh sb="5" eb="7">
      <t>ヘンセイ</t>
    </rPh>
    <rPh sb="14" eb="15">
      <t>ダレ</t>
    </rPh>
    <rPh sb="17" eb="18">
      <t>ム</t>
    </rPh>
    <rPh sb="21" eb="24">
      <t>ユウコウド</t>
    </rPh>
    <rPh sb="25" eb="27">
      <t>ジョウショウ</t>
    </rPh>
    <phoneticPr fontId="1"/>
  </si>
  <si>
    <t>キャラクターの顔の横のハートマークを押すと上昇させられる。</t>
    <rPh sb="7" eb="8">
      <t>カオ</t>
    </rPh>
    <rPh sb="9" eb="10">
      <t>ヨコ</t>
    </rPh>
    <rPh sb="18" eb="19">
      <t>オ</t>
    </rPh>
    <rPh sb="21" eb="23">
      <t>ジョウショウ</t>
    </rPh>
    <phoneticPr fontId="1"/>
  </si>
  <si>
    <t>理論上-40から100の値を取る</t>
    <rPh sb="0" eb="3">
      <t>リロンジョウ</t>
    </rPh>
    <rPh sb="12" eb="13">
      <t>アタイ</t>
    </rPh>
    <rPh sb="14" eb="15">
      <t>ト</t>
    </rPh>
    <phoneticPr fontId="1"/>
  </si>
  <si>
    <t>親愛度が0未満の場合でも能力が低下することはない。</t>
    <rPh sb="0" eb="3">
      <t>シンアイド</t>
    </rPh>
    <rPh sb="5" eb="7">
      <t>ミマン</t>
    </rPh>
    <rPh sb="8" eb="10">
      <t>バアイ</t>
    </rPh>
    <rPh sb="12" eb="14">
      <t>ノウリョク</t>
    </rPh>
    <rPh sb="15" eb="17">
      <t>テイカ</t>
    </rPh>
    <phoneticPr fontId="1"/>
  </si>
  <si>
    <t>レベルが上がると友好度ボーナスが1もらえる。</t>
    <rPh sb="8" eb="11">
      <t>ユウコウド</t>
    </rPh>
    <phoneticPr fontId="1"/>
  </si>
  <si>
    <t>リロード時間</t>
    <rPh sb="4" eb="6">
      <t>ジカン</t>
    </rPh>
    <phoneticPr fontId="1"/>
  </si>
  <si>
    <t>60秒-WLV*2</t>
    <rPh sb="2" eb="3">
      <t>ビョウ</t>
    </rPh>
    <phoneticPr fontId="1"/>
  </si>
  <si>
    <t>食べ物</t>
    <rPh sb="0" eb="1">
      <t>タ</t>
    </rPh>
    <rPh sb="2" eb="3">
      <t>モノ</t>
    </rPh>
    <phoneticPr fontId="1"/>
  </si>
  <si>
    <t>食料は0-100の値で保持している。</t>
    <rPh sb="0" eb="2">
      <t>ショクリョウ</t>
    </rPh>
    <rPh sb="9" eb="10">
      <t>アタイ</t>
    </rPh>
    <rPh sb="11" eb="13">
      <t>ホジ</t>
    </rPh>
    <phoneticPr fontId="1"/>
  </si>
  <si>
    <t>時報がくるごとに5～40ランダムで減少する。</t>
    <rPh sb="0" eb="2">
      <t>ジホウ</t>
    </rPh>
    <rPh sb="17" eb="19">
      <t>ゲンショウ</t>
    </rPh>
    <phoneticPr fontId="1"/>
  </si>
  <si>
    <t>0になると</t>
    <phoneticPr fontId="1"/>
  </si>
  <si>
    <t>編成中のキャラクターが「食べ物がなくなった」セリフをしゃべる</t>
    <rPh sb="0" eb="3">
      <t>ヘンセイチュウ</t>
    </rPh>
    <rPh sb="12" eb="13">
      <t>タ</t>
    </rPh>
    <rPh sb="14" eb="15">
      <t>モノ</t>
    </rPh>
    <phoneticPr fontId="1"/>
  </si>
  <si>
    <t>食べ物は探索の副産物として手に入る</t>
    <rPh sb="0" eb="1">
      <t>タ</t>
    </rPh>
    <rPh sb="2" eb="3">
      <t>モノ</t>
    </rPh>
    <rPh sb="4" eb="6">
      <t>タンサク</t>
    </rPh>
    <rPh sb="7" eb="10">
      <t>フクサンブツ</t>
    </rPh>
    <rPh sb="13" eb="14">
      <t>テ</t>
    </rPh>
    <rPh sb="15" eb="16">
      <t>ハイ</t>
    </rPh>
    <phoneticPr fontId="1"/>
  </si>
  <si>
    <t>探索</t>
    <rPh sb="0" eb="2">
      <t>タンサク</t>
    </rPh>
    <phoneticPr fontId="1"/>
  </si>
  <si>
    <t>探索では食料を手に入れたり</t>
    <rPh sb="0" eb="2">
      <t>タンサク</t>
    </rPh>
    <rPh sb="4" eb="6">
      <t>ショクリョウ</t>
    </rPh>
    <rPh sb="7" eb="8">
      <t>テ</t>
    </rPh>
    <rPh sb="9" eb="10">
      <t>イ</t>
    </rPh>
    <phoneticPr fontId="1"/>
  </si>
  <si>
    <t>レリクスを見つけたりする。</t>
    <rPh sb="5" eb="6">
      <t>ミ</t>
    </rPh>
    <phoneticPr fontId="1"/>
  </si>
  <si>
    <t>選択すると編成中のキャラクタのミニキャラが5秒間画面中を走り回り、探索中・・・と表示される</t>
    <rPh sb="0" eb="2">
      <t>センタク</t>
    </rPh>
    <rPh sb="5" eb="8">
      <t>ヘンセイチュウ</t>
    </rPh>
    <rPh sb="22" eb="24">
      <t>ビョウカン</t>
    </rPh>
    <rPh sb="24" eb="27">
      <t>ガメンジュウ</t>
    </rPh>
    <rPh sb="28" eb="29">
      <t>ハシ</t>
    </rPh>
    <rPh sb="30" eb="31">
      <t>マワ</t>
    </rPh>
    <rPh sb="33" eb="36">
      <t>タンサクチュウ</t>
    </rPh>
    <rPh sb="40" eb="42">
      <t>ヒョウジ</t>
    </rPh>
    <phoneticPr fontId="1"/>
  </si>
  <si>
    <t>その後イベントエンジンで画像　"C:\Users\user\.antigravity\game\files\event\ev_expr.jpg"を表示し</t>
    <rPh sb="2" eb="3">
      <t>アト</t>
    </rPh>
    <rPh sb="12" eb="14">
      <t>ガゾウ</t>
    </rPh>
    <rPh sb="73" eb="75">
      <t>ヒョウジ</t>
    </rPh>
    <phoneticPr fontId="1"/>
  </si>
  <si>
    <t>充分な量の食料を手に入れた</t>
    <rPh sb="0" eb="2">
      <t>ジュウブン</t>
    </rPh>
    <rPh sb="3" eb="4">
      <t>リョウ</t>
    </rPh>
    <rPh sb="5" eb="7">
      <t>ショクリョウ</t>
    </rPh>
    <rPh sb="8" eb="9">
      <t>テ</t>
    </rPh>
    <rPh sb="10" eb="11">
      <t>イ</t>
    </rPh>
    <phoneticPr fontId="1"/>
  </si>
  <si>
    <t>に加えて、戦闘後と同じ要領でレリクスが最大8個見つかる。</t>
    <rPh sb="1" eb="2">
      <t>クワ</t>
    </rPh>
    <rPh sb="5" eb="8">
      <t>セントウゴ</t>
    </rPh>
    <rPh sb="9" eb="10">
      <t>オナ</t>
    </rPh>
    <rPh sb="11" eb="13">
      <t>ヨウリョウ</t>
    </rPh>
    <rPh sb="19" eb="21">
      <t>サイダイ</t>
    </rPh>
    <rPh sb="22" eb="23">
      <t>コ</t>
    </rPh>
    <rPh sb="23" eb="24">
      <t>ミ</t>
    </rPh>
    <phoneticPr fontId="1"/>
  </si>
  <si>
    <t>1％の確率で宝石も生成される。</t>
    <rPh sb="3" eb="5">
      <t>カクリツ</t>
    </rPh>
    <rPh sb="6" eb="8">
      <t>ホウセキ</t>
    </rPh>
    <rPh sb="9" eb="11">
      <t>セイセイ</t>
    </rPh>
    <phoneticPr fontId="1"/>
  </si>
  <si>
    <t>マップ画面では移動の他、「探索」「休息」を行うこともできる。</t>
    <rPh sb="3" eb="5">
      <t>ガメン</t>
    </rPh>
    <rPh sb="7" eb="9">
      <t>イドウ</t>
    </rPh>
    <rPh sb="10" eb="11">
      <t>ホカ</t>
    </rPh>
    <rPh sb="13" eb="15">
      <t>タンサク</t>
    </rPh>
    <rPh sb="17" eb="19">
      <t>キュウソク</t>
    </rPh>
    <rPh sb="21" eb="22">
      <t>オコナ</t>
    </rPh>
    <phoneticPr fontId="1"/>
  </si>
  <si>
    <t>休息</t>
    <rPh sb="0" eb="2">
      <t>キュウソク</t>
    </rPh>
    <phoneticPr fontId="1"/>
  </si>
  <si>
    <t>キャラクターの生命力、精神力の右端に「回復」ボタンが付いています</t>
    <rPh sb="7" eb="10">
      <t>セイメイリョク</t>
    </rPh>
    <rPh sb="11" eb="14">
      <t>セイシンリョク</t>
    </rPh>
    <rPh sb="15" eb="17">
      <t>ミギハシ</t>
    </rPh>
    <rPh sb="19" eb="21">
      <t>カイフク</t>
    </rPh>
    <rPh sb="26" eb="27">
      <t>ツ</t>
    </rPh>
    <phoneticPr fontId="1"/>
  </si>
  <si>
    <t>生命力の「回復」ボタンを押すと、キャラクタの精神力１点につき、30の生命力を回復できます。生命力が満タンになるまで行われ、精神力を消耗します。</t>
    <rPh sb="0" eb="3">
      <t>セイメイリョク</t>
    </rPh>
    <rPh sb="5" eb="7">
      <t>カイフク</t>
    </rPh>
    <rPh sb="12" eb="13">
      <t>オ</t>
    </rPh>
    <rPh sb="22" eb="25">
      <t>セイシンリョク</t>
    </rPh>
    <rPh sb="26" eb="27">
      <t>テン</t>
    </rPh>
    <rPh sb="34" eb="37">
      <t>セイメイリョク</t>
    </rPh>
    <rPh sb="38" eb="40">
      <t>カイフク</t>
    </rPh>
    <rPh sb="45" eb="48">
      <t>セイメイリョク</t>
    </rPh>
    <rPh sb="49" eb="50">
      <t>マン</t>
    </rPh>
    <rPh sb="57" eb="58">
      <t>オコナ</t>
    </rPh>
    <rPh sb="61" eb="64">
      <t>セイシンリョク</t>
    </rPh>
    <rPh sb="65" eb="67">
      <t>ショウモウ</t>
    </rPh>
    <phoneticPr fontId="1"/>
  </si>
  <si>
    <t>どちらのボタンも必要分に不足しているとボタンが暗く表示され、反応しません。</t>
    <rPh sb="8" eb="10">
      <t>ヒツヨウ</t>
    </rPh>
    <rPh sb="10" eb="11">
      <t>ブン</t>
    </rPh>
    <rPh sb="12" eb="14">
      <t>フソク</t>
    </rPh>
    <rPh sb="23" eb="24">
      <t>クラ</t>
    </rPh>
    <rPh sb="25" eb="27">
      <t>ヒョウジ</t>
    </rPh>
    <rPh sb="30" eb="32">
      <t>ハンノウ</t>
    </rPh>
    <phoneticPr fontId="1"/>
  </si>
  <si>
    <t>画面の一番下に「休息を終える」ボタンがあり、押すと｢休息を終えると時間が進みます。｣「はい」「いいえ」と聞かれるので　はい　を押すと時間が進みます。</t>
    <rPh sb="0" eb="2">
      <t>ガメン</t>
    </rPh>
    <rPh sb="3" eb="5">
      <t>イチバン</t>
    </rPh>
    <rPh sb="5" eb="6">
      <t>シタ</t>
    </rPh>
    <rPh sb="8" eb="10">
      <t>キュウソク</t>
    </rPh>
    <rPh sb="11" eb="12">
      <t>オ</t>
    </rPh>
    <rPh sb="22" eb="23">
      <t>オ</t>
    </rPh>
    <rPh sb="26" eb="28">
      <t>キュウソク</t>
    </rPh>
    <rPh sb="29" eb="30">
      <t>オ</t>
    </rPh>
    <rPh sb="33" eb="35">
      <t>ジカン</t>
    </rPh>
    <rPh sb="36" eb="37">
      <t>スス</t>
    </rPh>
    <rPh sb="52" eb="53">
      <t>キ</t>
    </rPh>
    <rPh sb="63" eb="64">
      <t>オ</t>
    </rPh>
    <rPh sb="66" eb="68">
      <t>ジカン</t>
    </rPh>
    <rPh sb="69" eb="70">
      <t>スス</t>
    </rPh>
    <phoneticPr fontId="1"/>
  </si>
  <si>
    <t>精神力の｢回復｣ボタンを押すと、「精神力の回復にSP〇〇が必要です。回復しますか?」「はい」「いいえ」と聞かれます。精神力1点につき、SPが1点必要です。</t>
    <rPh sb="0" eb="3">
      <t>セイシンリョク</t>
    </rPh>
    <rPh sb="5" eb="7">
      <t>カイフク</t>
    </rPh>
    <rPh sb="12" eb="13">
      <t>オ</t>
    </rPh>
    <rPh sb="17" eb="20">
      <t>セイシンリョク</t>
    </rPh>
    <rPh sb="21" eb="23">
      <t>カイフク</t>
    </rPh>
    <rPh sb="29" eb="31">
      <t>ヒツヨウ</t>
    </rPh>
    <rPh sb="34" eb="36">
      <t>カイフク</t>
    </rPh>
    <rPh sb="52" eb="53">
      <t>キ</t>
    </rPh>
    <rPh sb="58" eb="61">
      <t>セイシンリョク</t>
    </rPh>
    <rPh sb="62" eb="63">
      <t>テン</t>
    </rPh>
    <rPh sb="71" eb="72">
      <t>テン</t>
    </rPh>
    <rPh sb="72" eb="74">
      <t>ヒツヨウ</t>
    </rPh>
    <phoneticPr fontId="1"/>
  </si>
  <si>
    <t>基本的にステータス画面と同じ構成です。ストック経験値の下に所持SPが表示されます。</t>
    <rPh sb="0" eb="3">
      <t>キホンテキ</t>
    </rPh>
    <rPh sb="9" eb="11">
      <t>ガメン</t>
    </rPh>
    <rPh sb="12" eb="13">
      <t>オナ</t>
    </rPh>
    <rPh sb="14" eb="16">
      <t>コウセイ</t>
    </rPh>
    <rPh sb="23" eb="26">
      <t>ケイケンチ</t>
    </rPh>
    <rPh sb="27" eb="28">
      <t>シタ</t>
    </rPh>
    <rPh sb="29" eb="31">
      <t>ショジ</t>
    </rPh>
    <rPh sb="34" eb="36">
      <t>ヒョウジ</t>
    </rPh>
    <phoneticPr fontId="1"/>
  </si>
  <si>
    <t>背景は、休息を日中に行った場合、"C:\Users\user\.antigravity\game\files\event\ev_daycamp.jpg"</t>
    <rPh sb="0" eb="2">
      <t>ハイケイ</t>
    </rPh>
    <rPh sb="4" eb="6">
      <t>キュウソク</t>
    </rPh>
    <rPh sb="7" eb="9">
      <t>ニッチュウ</t>
    </rPh>
    <rPh sb="10" eb="11">
      <t>オコナ</t>
    </rPh>
    <rPh sb="13" eb="15">
      <t>バアイ</t>
    </rPh>
    <phoneticPr fontId="1"/>
  </si>
  <si>
    <t>夜に行った場合、"C:\Users\user\.antigravity\game\files\event\ev_camp.jpg"です。</t>
    <rPh sb="0" eb="1">
      <t>ヨル</t>
    </rPh>
    <rPh sb="2" eb="3">
      <t>オコナ</t>
    </rPh>
    <rPh sb="5" eb="7">
      <t>バアイ</t>
    </rPh>
    <phoneticPr fontId="1"/>
  </si>
  <si>
    <t>マップ移動後の流れ</t>
    <rPh sb="3" eb="6">
      <t>イドウアト</t>
    </rPh>
    <rPh sb="7" eb="8">
      <t>ナガ</t>
    </rPh>
    <phoneticPr fontId="1"/>
  </si>
  <si>
    <t>移動ヘックス選択</t>
    <rPh sb="0" eb="2">
      <t>イドウ</t>
    </rPh>
    <rPh sb="6" eb="8">
      <t>センタク</t>
    </rPh>
    <phoneticPr fontId="1"/>
  </si>
  <si>
    <t>移動</t>
    <rPh sb="0" eb="2">
      <t>イドウ</t>
    </rPh>
    <phoneticPr fontId="1"/>
  </si>
  <si>
    <t>移動先が未踏破の場合↓　そうでない場合→</t>
    <rPh sb="0" eb="3">
      <t>イドウサキ</t>
    </rPh>
    <rPh sb="4" eb="7">
      <t>ミトウハ</t>
    </rPh>
    <rPh sb="8" eb="10">
      <t>バアイ</t>
    </rPh>
    <rPh sb="17" eb="19">
      <t>バアイ</t>
    </rPh>
    <phoneticPr fontId="1"/>
  </si>
  <si>
    <t>時間も過ぎずに連続で移動が可能。</t>
    <rPh sb="0" eb="2">
      <t>ジカン</t>
    </rPh>
    <rPh sb="3" eb="4">
      <t>ス</t>
    </rPh>
    <rPh sb="7" eb="9">
      <t>レンゾク</t>
    </rPh>
    <rPh sb="10" eb="12">
      <t>イドウ</t>
    </rPh>
    <rPh sb="13" eb="15">
      <t>カノウ</t>
    </rPh>
    <phoneticPr fontId="1"/>
  </si>
  <si>
    <t>1秒ウェイトを置いてから明転</t>
    <rPh sb="1" eb="2">
      <t>ビョウ</t>
    </rPh>
    <rPh sb="7" eb="8">
      <t>オ</t>
    </rPh>
    <rPh sb="12" eb="14">
      <t>メイテン</t>
    </rPh>
    <phoneticPr fontId="1"/>
  </si>
  <si>
    <t>イベントエンジン起動、背景は現在のヘクスの景色</t>
    <rPh sb="8" eb="10">
      <t>キドウ</t>
    </rPh>
    <rPh sb="11" eb="13">
      <t>ハイケイ</t>
    </rPh>
    <rPh sb="14" eb="16">
      <t>ゲンザイ</t>
    </rPh>
    <rPh sb="21" eb="23">
      <t>ケシキ</t>
    </rPh>
    <phoneticPr fontId="1"/>
  </si>
  <si>
    <t>画面上部中央に地名を表示</t>
    <rPh sb="0" eb="2">
      <t>ガメン</t>
    </rPh>
    <rPh sb="2" eb="4">
      <t>ジョウブ</t>
    </rPh>
    <rPh sb="4" eb="6">
      <t>チュウオウ</t>
    </rPh>
    <rPh sb="7" eb="9">
      <t>チメイ</t>
    </rPh>
    <rPh sb="10" eb="12">
      <t>ヒョウジ</t>
    </rPh>
    <phoneticPr fontId="1"/>
  </si>
  <si>
    <t>右側から現在編成中のキャラクタのうち1人目が選ばれて出てくる</t>
    <rPh sb="0" eb="2">
      <t>ミギガワ</t>
    </rPh>
    <rPh sb="4" eb="9">
      <t>ゲンザイヘンセイチュウ</t>
    </rPh>
    <rPh sb="19" eb="20">
      <t>ニン</t>
    </rPh>
    <rPh sb="20" eb="21">
      <t>メ</t>
    </rPh>
    <rPh sb="22" eb="23">
      <t>エラ</t>
    </rPh>
    <rPh sb="26" eb="27">
      <t>デ</t>
    </rPh>
    <phoneticPr fontId="1"/>
  </si>
  <si>
    <t>talk_(1人目).xlsxにある現在の地名のトークを喋る</t>
    <rPh sb="7" eb="8">
      <t>ニン</t>
    </rPh>
    <rPh sb="8" eb="9">
      <t>メ</t>
    </rPh>
    <rPh sb="18" eb="20">
      <t>ゲンザイ</t>
    </rPh>
    <rPh sb="21" eb="23">
      <t>チメイ</t>
    </rPh>
    <rPh sb="28" eb="29">
      <t>シャベ</t>
    </rPh>
    <phoneticPr fontId="1"/>
  </si>
  <si>
    <t>敵が存在する場合、そのもやを背景の上に発生させる</t>
    <rPh sb="0" eb="1">
      <t>テキ</t>
    </rPh>
    <rPh sb="2" eb="4">
      <t>ソンザイ</t>
    </rPh>
    <rPh sb="6" eb="8">
      <t>バアイ</t>
    </rPh>
    <rPh sb="14" eb="16">
      <t>ハイケイ</t>
    </rPh>
    <rPh sb="17" eb="18">
      <t>ウエ</t>
    </rPh>
    <rPh sb="19" eb="21">
      <t>ハッセイ</t>
    </rPh>
    <phoneticPr fontId="1"/>
  </si>
  <si>
    <t>編成が1人目のキャラだけ</t>
    <rPh sb="0" eb="2">
      <t>ヘンセイ</t>
    </rPh>
    <rPh sb="4" eb="5">
      <t>ニン</t>
    </rPh>
    <rPh sb="5" eb="6">
      <t>メ</t>
    </rPh>
    <phoneticPr fontId="1"/>
  </si>
  <si>
    <t>編成が2人以上</t>
    <rPh sb="0" eb="2">
      <t>ヘンセイ</t>
    </rPh>
    <rPh sb="4" eb="5">
      <t>ニン</t>
    </rPh>
    <rPh sb="5" eb="7">
      <t>イジョウ</t>
    </rPh>
    <phoneticPr fontId="1"/>
  </si>
  <si>
    <t>talk_(1人目).xlsxにある戦闘突入の中からどれかをランダムで喋る</t>
    <rPh sb="7" eb="8">
      <t>ニン</t>
    </rPh>
    <rPh sb="8" eb="9">
      <t>メ</t>
    </rPh>
    <rPh sb="18" eb="22">
      <t>セントウトツニュウ</t>
    </rPh>
    <rPh sb="23" eb="24">
      <t>ナカ</t>
    </rPh>
    <rPh sb="35" eb="36">
      <t>シャベ</t>
    </rPh>
    <phoneticPr fontId="1"/>
  </si>
  <si>
    <t>左側から現在編成中のキャラクタのうち(1人目以外の)誰かが出てくる</t>
    <rPh sb="0" eb="1">
      <t>ヒダリ</t>
    </rPh>
    <rPh sb="20" eb="22">
      <t>ニンメ</t>
    </rPh>
    <rPh sb="22" eb="24">
      <t>イガイ</t>
    </rPh>
    <phoneticPr fontId="1"/>
  </si>
  <si>
    <t>2人目がtalk_(2人目).xlsxにある戦闘突入の中からどれかをランダムで喋る</t>
    <rPh sb="1" eb="3">
      <t>ニンメ</t>
    </rPh>
    <rPh sb="11" eb="13">
      <t>ニンメ</t>
    </rPh>
    <rPh sb="22" eb="26">
      <t>セントウトツニュウ</t>
    </rPh>
    <rPh sb="27" eb="28">
      <t>ナカ</t>
    </rPh>
    <rPh sb="39" eb="40">
      <t>シャベ</t>
    </rPh>
    <phoneticPr fontId="1"/>
  </si>
  <si>
    <t>戦闘に突入する</t>
    <rPh sb="0" eb="2">
      <t>セントウ</t>
    </rPh>
    <rPh sb="3" eb="5">
      <t>トツニュウ</t>
    </rPh>
    <phoneticPr fontId="1"/>
  </si>
  <si>
    <t>talk_1人目).xlsxにある戦闘突入対応の中からどれかをランダムで喋る</t>
    <rPh sb="6" eb="7">
      <t>ニン</t>
    </rPh>
    <rPh sb="7" eb="8">
      <t>メ</t>
    </rPh>
    <rPh sb="17" eb="21">
      <t>セントウトツニュウ</t>
    </rPh>
    <rPh sb="21" eb="23">
      <t>タイオウ</t>
    </rPh>
    <rPh sb="24" eb="25">
      <t>ナカ</t>
    </rPh>
    <rPh sb="36" eb="37">
      <t>シャベ</t>
    </rPh>
    <phoneticPr fontId="1"/>
  </si>
  <si>
    <t>戦闘終了</t>
    <rPh sb="0" eb="2">
      <t>セントウ</t>
    </rPh>
    <rPh sb="2" eb="4">
      <t>シュウリョウ</t>
    </rPh>
    <phoneticPr fontId="1"/>
  </si>
  <si>
    <t>経験値　XXXXXを得た</t>
    <rPh sb="0" eb="3">
      <t>ケイケンチ</t>
    </rPh>
    <rPh sb="10" eb="11">
      <t>エ</t>
    </rPh>
    <phoneticPr fontId="1"/>
  </si>
  <si>
    <t>(魔女を倒していれば)XXXのSPを得た</t>
    <rPh sb="1" eb="3">
      <t>マジョ</t>
    </rPh>
    <rPh sb="4" eb="5">
      <t>タオ</t>
    </rPh>
    <rPh sb="18" eb="19">
      <t>エ</t>
    </rPh>
    <phoneticPr fontId="1"/>
  </si>
  <si>
    <t>｢XXXなXXXのXX｣</t>
    <phoneticPr fontId="1"/>
  </si>
  <si>
    <t>のレリクスを見つけた</t>
    <rPh sb="6" eb="7">
      <t>ミ</t>
    </rPh>
    <phoneticPr fontId="1"/>
  </si>
  <si>
    <t>タロットカードのシーン</t>
    <phoneticPr fontId="1"/>
  </si>
  <si>
    <t>編成中メンバーのミニキャラたちが縦横無尽に走り回る</t>
    <rPh sb="0" eb="2">
      <t>ヘンセイ</t>
    </rPh>
    <rPh sb="2" eb="3">
      <t>チュウ</t>
    </rPh>
    <rPh sb="16" eb="20">
      <t>ジュウオウムジン</t>
    </rPh>
    <rPh sb="21" eb="22">
      <t>ハシ</t>
    </rPh>
    <rPh sb="23" eb="24">
      <t>マワ</t>
    </rPh>
    <phoneticPr fontId="1"/>
  </si>
  <si>
    <t>マップ画面に50%の黒い幕が張られ、</t>
    <rPh sb="3" eb="5">
      <t>ガメン</t>
    </rPh>
    <rPh sb="10" eb="11">
      <t>クロ</t>
    </rPh>
    <rPh sb="12" eb="13">
      <t>マク</t>
    </rPh>
    <rPh sb="14" eb="15">
      <t>ハ</t>
    </rPh>
    <phoneticPr fontId="1"/>
  </si>
  <si>
    <t>調査ボックス選択</t>
    <rPh sb="0" eb="2">
      <t>チョウサ</t>
    </rPh>
    <rPh sb="6" eb="8">
      <t>センタク</t>
    </rPh>
    <phoneticPr fontId="1"/>
  </si>
  <si>
    <t>調査コマンドの流れ</t>
    <rPh sb="0" eb="2">
      <t>チョウサ</t>
    </rPh>
    <rPh sb="7" eb="8">
      <t>ナガ</t>
    </rPh>
    <phoneticPr fontId="1"/>
  </si>
  <si>
    <t>マップに戻る</t>
    <rPh sb="4" eb="5">
      <t>モド</t>
    </rPh>
    <phoneticPr fontId="1"/>
  </si>
  <si>
    <t xml:space="preserve">そうでないばあい、効果を表記して　tap to next </t>
    <rPh sb="9" eb="11">
      <t>コウカ</t>
    </rPh>
    <rPh sb="12" eb="14">
      <t>ヒョウキ</t>
    </rPh>
    <phoneticPr fontId="1"/>
  </si>
  <si>
    <t>引いたカードの暗示が登場キャラの場合、出会いいイベントを発生させる。</t>
    <rPh sb="0" eb="1">
      <t>ヒ</t>
    </rPh>
    <rPh sb="7" eb="9">
      <t>アンジ</t>
    </rPh>
    <rPh sb="10" eb="12">
      <t>トウジョウ</t>
    </rPh>
    <rPh sb="16" eb="18">
      <t>バアイ</t>
    </rPh>
    <rPh sb="19" eb="21">
      <t>デア</t>
    </rPh>
    <rPh sb="28" eb="30">
      <t>ハッセイ</t>
    </rPh>
    <phoneticPr fontId="1"/>
  </si>
  <si>
    <t>引いたカードが大写しになり、効果が表記される</t>
    <rPh sb="0" eb="1">
      <t>ヒ</t>
    </rPh>
    <rPh sb="7" eb="9">
      <t>オオウツ</t>
    </rPh>
    <rPh sb="14" eb="16">
      <t>コウカ</t>
    </rPh>
    <rPh sb="17" eb="19">
      <t>ヒョウキ</t>
    </rPh>
    <phoneticPr fontId="1"/>
  </si>
  <si>
    <t>選んだカードが疑似３Ｄ的に表向きにひっくりかえる。２２種類の正位置/逆位置が存在する。</t>
    <rPh sb="0" eb="1">
      <t>エラ</t>
    </rPh>
    <rPh sb="7" eb="9">
      <t>ギジ</t>
    </rPh>
    <rPh sb="11" eb="12">
      <t>テキ</t>
    </rPh>
    <rPh sb="13" eb="15">
      <t>オモテム</t>
    </rPh>
    <phoneticPr fontId="1"/>
  </si>
  <si>
    <t>「どれか一枚を選んでください」</t>
    <rPh sb="4" eb="6">
      <t>イチマイ</t>
    </rPh>
    <rPh sb="7" eb="8">
      <t>エラ</t>
    </rPh>
    <phoneticPr fontId="1"/>
  </si>
  <si>
    <t>そのうち、左側から3枚が流れてきて画面中央に横に並べられる</t>
    <rPh sb="5" eb="7">
      <t>ヒダリガワ</t>
    </rPh>
    <rPh sb="10" eb="11">
      <t>マイ</t>
    </rPh>
    <rPh sb="12" eb="13">
      <t>ナガ</t>
    </rPh>
    <rPh sb="17" eb="19">
      <t>ガメン</t>
    </rPh>
    <rPh sb="19" eb="21">
      <t>チュウオウ</t>
    </rPh>
    <rPh sb="22" eb="23">
      <t>ヨコ</t>
    </rPh>
    <rPh sb="24" eb="25">
      <t>ナラ</t>
    </rPh>
    <phoneticPr fontId="1"/>
  </si>
  <si>
    <t>※今周回中に引いたカードは取り覗かれるので、22枚から始まり毎日どんどん減ってゆく。</t>
    <rPh sb="1" eb="2">
      <t>イマ</t>
    </rPh>
    <rPh sb="2" eb="5">
      <t>シュウカイチュウ</t>
    </rPh>
    <rPh sb="6" eb="7">
      <t>ヒ</t>
    </rPh>
    <rPh sb="13" eb="14">
      <t>ト</t>
    </rPh>
    <rPh sb="15" eb="16">
      <t>ノゾ</t>
    </rPh>
    <rPh sb="24" eb="25">
      <t>マイ</t>
    </rPh>
    <rPh sb="27" eb="28">
      <t>ハジ</t>
    </rPh>
    <rPh sb="30" eb="32">
      <t>マイニチ</t>
    </rPh>
    <rPh sb="36" eb="37">
      <t>ヘ</t>
    </rPh>
    <phoneticPr fontId="1"/>
  </si>
  <si>
    <t>タロットカードが裏向きでXX枚、右から左に通り過ぎてゆく</t>
    <rPh sb="8" eb="10">
      <t>ウラム</t>
    </rPh>
    <rPh sb="14" eb="15">
      <t>マイ</t>
    </rPh>
    <rPh sb="16" eb="17">
      <t>ミギ</t>
    </rPh>
    <rPh sb="19" eb="20">
      <t>ヒダリ</t>
    </rPh>
    <rPh sb="21" eb="22">
      <t>トオ</t>
    </rPh>
    <rPh sb="23" eb="24">
      <t>ス</t>
    </rPh>
    <phoneticPr fontId="1"/>
  </si>
  <si>
    <t>濃い緑一色の背景</t>
    <rPh sb="0" eb="1">
      <t>コ</t>
    </rPh>
    <rPh sb="2" eb="3">
      <t>ミドリ</t>
    </rPh>
    <rPh sb="3" eb="5">
      <t>イッショク</t>
    </rPh>
    <rPh sb="6" eb="8">
      <t>ハイケイ</t>
    </rPh>
    <phoneticPr fontId="1"/>
  </si>
  <si>
    <t>明転</t>
    <rPh sb="0" eb="2">
      <t>メイテン</t>
    </rPh>
    <phoneticPr fontId="1"/>
  </si>
  <si>
    <t>タロットカードを引くシーン</t>
    <rPh sb="8" eb="9">
      <t>ヒ</t>
    </rPh>
    <phoneticPr fontId="1"/>
  </si>
  <si>
    <t>2個</t>
    <rPh sb="1" eb="2">
      <t>コ</t>
    </rPh>
    <phoneticPr fontId="1"/>
  </si>
  <si>
    <t>3個</t>
    <rPh sb="1" eb="2">
      <t>コ</t>
    </rPh>
    <phoneticPr fontId="1"/>
  </si>
  <si>
    <t>1個</t>
    <rPh sb="1" eb="2">
      <t>コ</t>
    </rPh>
    <phoneticPr fontId="1"/>
  </si>
  <si>
    <t>4個</t>
    <rPh sb="1" eb="2">
      <t>コ</t>
    </rPh>
    <phoneticPr fontId="1"/>
  </si>
  <si>
    <t>5個</t>
    <rPh sb="1" eb="2">
      <t>コ</t>
    </rPh>
    <phoneticPr fontId="1"/>
  </si>
  <si>
    <t>レリクスを装備できる数が増えるレベル</t>
    <rPh sb="5" eb="7">
      <t>ソウビ</t>
    </rPh>
    <rPh sb="10" eb="11">
      <t>カズ</t>
    </rPh>
    <rPh sb="12" eb="13">
      <t>フ</t>
    </rPh>
    <phoneticPr fontId="1"/>
  </si>
  <si>
    <t>・休息時に食料がない　休息終了時全キャラクターが精神力を5%失います。精神力1以下にはなりません。</t>
  </si>
  <si>
    <t>・休息時に友好度がマイナスのキャラクターがメンバーにいる　休息終了時精神力を2%失います。精神力1以下にはなりません。</t>
  </si>
  <si>
    <t>・休息時に自分に対して友好度がマイナスのメンバーがいる　休息終了時精神力を2%失います。精神力1以下にはなりません。</t>
  </si>
  <si>
    <t>・戦闘突入時に食料が0の場合　必殺技リロードが0の状態で開始する。</t>
  </si>
  <si>
    <t>・戦闘中10秒ごとに精神力を失う設定だが、さらに1多く減る。</t>
  </si>
  <si>
    <t>・戦闘中ダメージ10ごとに精神力を1失う設定だが、さらに1多く減る。</t>
  </si>
  <si>
    <t>白蓮</t>
    <rPh sb="0" eb="1">
      <t>シロ</t>
    </rPh>
    <rPh sb="1" eb="2">
      <t>ハス</t>
    </rPh>
    <phoneticPr fontId="1"/>
  </si>
  <si>
    <t>黄蘭は遠距離からはデバフ性能のあるレーザーを撃つ</t>
    <rPh sb="0" eb="2">
      <t>オウラ</t>
    </rPh>
    <rPh sb="3" eb="6">
      <t>エンキョリ</t>
    </rPh>
    <rPh sb="12" eb="14">
      <t>セイノウ</t>
    </rPh>
    <rPh sb="22" eb="23">
      <t>ウ</t>
    </rPh>
    <phoneticPr fontId="1"/>
  </si>
  <si>
    <t>近距離では敵を押し返すバリアを張る</t>
    <rPh sb="0" eb="3">
      <t>キンキョリ</t>
    </rPh>
    <rPh sb="5" eb="6">
      <t>テキ</t>
    </rPh>
    <rPh sb="7" eb="8">
      <t>オ</t>
    </rPh>
    <rPh sb="9" eb="10">
      <t>カエ</t>
    </rPh>
    <rPh sb="15" eb="16">
      <t>ハ</t>
    </rPh>
    <phoneticPr fontId="1"/>
  </si>
  <si>
    <t>隠者</t>
    <rPh sb="0" eb="2">
      <t>インジャ</t>
    </rPh>
    <phoneticPr fontId="1"/>
  </si>
  <si>
    <t>011001.png</t>
    <phoneticPr fontId="1"/>
  </si>
  <si>
    <t>右向き立ち絵</t>
    <rPh sb="0" eb="2">
      <t>ミギム</t>
    </rPh>
    <rPh sb="3" eb="4">
      <t>タ</t>
    </rPh>
    <rPh sb="5" eb="6">
      <t>エ</t>
    </rPh>
    <phoneticPr fontId="1"/>
  </si>
  <si>
    <t>011001b.png</t>
    <phoneticPr fontId="1"/>
  </si>
  <si>
    <t>011002.png</t>
    <phoneticPr fontId="1"/>
  </si>
  <si>
    <t>011002b.png</t>
    <phoneticPr fontId="1"/>
  </si>
  <si>
    <t>レーザー</t>
    <phoneticPr fontId="1"/>
  </si>
  <si>
    <t>射程内の敵を弾き飛ばす。</t>
    <rPh sb="0" eb="2">
      <t>シャテイ</t>
    </rPh>
    <rPh sb="2" eb="3">
      <t>ナイ</t>
    </rPh>
    <rPh sb="4" eb="5">
      <t>テキ</t>
    </rPh>
    <rPh sb="6" eb="7">
      <t>ハジ</t>
    </rPh>
    <rPh sb="8" eb="9">
      <t>ト</t>
    </rPh>
    <phoneticPr fontId="1"/>
  </si>
  <si>
    <t>バリア</t>
    <phoneticPr fontId="1"/>
  </si>
  <si>
    <t>ダメージを1/3減衰しながら貫通。敵の弾丸を消す。</t>
    <rPh sb="8" eb="10">
      <t>ゲンスイ</t>
    </rPh>
    <rPh sb="14" eb="16">
      <t>カンツウ</t>
    </rPh>
    <rPh sb="17" eb="18">
      <t>テキ</t>
    </rPh>
    <rPh sb="19" eb="21">
      <t>ダンガン</t>
    </rPh>
    <rPh sb="22" eb="23">
      <t>ケ</t>
    </rPh>
    <phoneticPr fontId="1"/>
  </si>
  <si>
    <t>発射時は直径0.5mだが直径2mまで広がりゆっくり前進する。ダメージを1/3減衰しながら貫通。敵の弾丸を消す。</t>
    <rPh sb="0" eb="3">
      <t>ハッシャジ</t>
    </rPh>
    <rPh sb="4" eb="6">
      <t>チョッケイ</t>
    </rPh>
    <rPh sb="12" eb="14">
      <t>チョッケイ</t>
    </rPh>
    <rPh sb="18" eb="19">
      <t>ヒロ</t>
    </rPh>
    <rPh sb="25" eb="27">
      <t>ゼンシン</t>
    </rPh>
    <phoneticPr fontId="1"/>
  </si>
  <si>
    <t>ブレ(目標角度からの拡散)</t>
    <rPh sb="3" eb="5">
      <t>モクヒョウ</t>
    </rPh>
    <rPh sb="5" eb="7">
      <t>カクド</t>
    </rPh>
    <rPh sb="10" eb="12">
      <t>カクサン</t>
    </rPh>
    <phoneticPr fontId="1"/>
  </si>
  <si>
    <t>8秒に1回、前方に秒速0.5mで進む直径1mのバリア弾を形成する。攻撃力0 ノックバック40 敵弾丸に接触すると弾丸を消す。弾丸への耐久力はWLV個分。それだけの弾丸を受けるか、敵に接触すると消える。</t>
    <rPh sb="1" eb="2">
      <t>ビョウ</t>
    </rPh>
    <rPh sb="4" eb="5">
      <t>カイ</t>
    </rPh>
    <rPh sb="6" eb="8">
      <t>ゼンポウ</t>
    </rPh>
    <rPh sb="9" eb="11">
      <t>ビョウソク</t>
    </rPh>
    <rPh sb="16" eb="17">
      <t>スス</t>
    </rPh>
    <rPh sb="18" eb="20">
      <t>チョッケイ</t>
    </rPh>
    <rPh sb="26" eb="27">
      <t>タマ</t>
    </rPh>
    <rPh sb="28" eb="30">
      <t>ケイセイ</t>
    </rPh>
    <rPh sb="33" eb="36">
      <t>コウゲキリョク</t>
    </rPh>
    <rPh sb="47" eb="48">
      <t>テキ</t>
    </rPh>
    <rPh sb="48" eb="50">
      <t>ダンガン</t>
    </rPh>
    <rPh sb="51" eb="53">
      <t>セッショク</t>
    </rPh>
    <rPh sb="56" eb="58">
      <t>ダンガン</t>
    </rPh>
    <rPh sb="59" eb="60">
      <t>ケ</t>
    </rPh>
    <rPh sb="62" eb="64">
      <t>ダンガン</t>
    </rPh>
    <rPh sb="66" eb="68">
      <t>タイキュウ</t>
    </rPh>
    <rPh sb="68" eb="69">
      <t>リョク</t>
    </rPh>
    <rPh sb="73" eb="74">
      <t>コ</t>
    </rPh>
    <rPh sb="74" eb="75">
      <t>ブン</t>
    </rPh>
    <rPh sb="81" eb="83">
      <t>ダンガン</t>
    </rPh>
    <rPh sb="84" eb="85">
      <t>ウ</t>
    </rPh>
    <rPh sb="89" eb="90">
      <t>テキ</t>
    </rPh>
    <rPh sb="91" eb="93">
      <t>セッショク</t>
    </rPh>
    <rPh sb="96" eb="97">
      <t>キ</t>
    </rPh>
    <phoneticPr fontId="1"/>
  </si>
  <si>
    <t>前方に秒速2mで進む直径1mのバリア弾を形成する。攻撃力0 ノックバック40 敵弾丸に接触すると弾丸を消す。15m進むと直径8mに拡大して破裂し、範囲内に基本攻撃力の(100+10*WLV)％のダメージ。</t>
    <rPh sb="0" eb="2">
      <t>ゼンポウ</t>
    </rPh>
    <rPh sb="3" eb="5">
      <t>ビョウソク</t>
    </rPh>
    <rPh sb="8" eb="9">
      <t>スス</t>
    </rPh>
    <rPh sb="10" eb="12">
      <t>チョッケイ</t>
    </rPh>
    <rPh sb="18" eb="19">
      <t>タマ</t>
    </rPh>
    <rPh sb="20" eb="22">
      <t>ケイセイ</t>
    </rPh>
    <rPh sb="25" eb="28">
      <t>コウゲキリョク</t>
    </rPh>
    <rPh sb="39" eb="40">
      <t>テキ</t>
    </rPh>
    <rPh sb="40" eb="42">
      <t>ダンガン</t>
    </rPh>
    <rPh sb="43" eb="45">
      <t>セッショク</t>
    </rPh>
    <rPh sb="48" eb="50">
      <t>ダンガン</t>
    </rPh>
    <rPh sb="51" eb="52">
      <t>ケ</t>
    </rPh>
    <rPh sb="57" eb="58">
      <t>スス</t>
    </rPh>
    <rPh sb="60" eb="62">
      <t>チョッケイ</t>
    </rPh>
    <rPh sb="65" eb="67">
      <t>カクダイ</t>
    </rPh>
    <rPh sb="69" eb="71">
      <t>ハレツ</t>
    </rPh>
    <rPh sb="73" eb="76">
      <t>ハンイナイ</t>
    </rPh>
    <rPh sb="77" eb="79">
      <t>キホン</t>
    </rPh>
    <rPh sb="79" eb="82">
      <t>コウゲキリョク</t>
    </rPh>
    <phoneticPr fontId="1"/>
  </si>
  <si>
    <t>11003.png</t>
    <phoneticPr fontId="1"/>
  </si>
  <si>
    <t>ﾚｰｻﾞｰ</t>
    <phoneticPr fontId="1"/>
  </si>
  <si>
    <t>11003b.png</t>
    <phoneticPr fontId="1"/>
  </si>
  <si>
    <t>遭遇ヘクス</t>
    <rPh sb="0" eb="2">
      <t>ソウグウ</t>
    </rPh>
    <phoneticPr fontId="1"/>
  </si>
  <si>
    <t>池袋</t>
    <rPh sb="0" eb="2">
      <t>イケブクロ</t>
    </rPh>
    <phoneticPr fontId="1"/>
  </si>
  <si>
    <t>ポートレート</t>
    <phoneticPr fontId="1"/>
  </si>
  <si>
    <t>011p.jpg</t>
    <phoneticPr fontId="1"/>
  </si>
  <si>
    <t>愚者</t>
    <rPh sb="0" eb="2">
      <t>グシャ</t>
    </rPh>
    <phoneticPr fontId="1"/>
  </si>
  <si>
    <t>死に顔</t>
    <rPh sb="0" eb="1">
      <t>シ</t>
    </rPh>
    <rPh sb="2" eb="3">
      <t>ガオ</t>
    </rPh>
    <phoneticPr fontId="1"/>
  </si>
  <si>
    <t>evx007.jpg</t>
    <phoneticPr fontId="1"/>
  </si>
  <si>
    <t>紅華</t>
    <rPh sb="0" eb="2">
      <t>コウカ</t>
    </rPh>
    <phoneticPr fontId="1"/>
  </si>
  <si>
    <t>ななよ</t>
    <phoneticPr fontId="1"/>
  </si>
  <si>
    <t>ななよは遠距離からは三鈷杵を投げつける。</t>
    <rPh sb="10" eb="13">
      <t>サンコショ</t>
    </rPh>
    <phoneticPr fontId="1"/>
  </si>
  <si>
    <t>007001.png</t>
    <phoneticPr fontId="1"/>
  </si>
  <si>
    <t>007001b.png</t>
    <phoneticPr fontId="1"/>
  </si>
  <si>
    <t>007002.png</t>
    <phoneticPr fontId="1"/>
  </si>
  <si>
    <t>007002b.png</t>
    <phoneticPr fontId="1"/>
  </si>
  <si>
    <t>007003.png</t>
    <phoneticPr fontId="1"/>
  </si>
  <si>
    <t>三鈷杵投げ</t>
    <rPh sb="0" eb="3">
      <t>サンコショ</t>
    </rPh>
    <rPh sb="3" eb="4">
      <t>ナ</t>
    </rPh>
    <phoneticPr fontId="1"/>
  </si>
  <si>
    <t>三鈷杵ブーメラン</t>
    <rPh sb="0" eb="3">
      <t>サンコショ</t>
    </rPh>
    <phoneticPr fontId="1"/>
  </si>
  <si>
    <t>パンチorリロード</t>
    <phoneticPr fontId="1"/>
  </si>
  <si>
    <t>上記の場合、(三鈷杵ブーメラン→0.4秒)後、ターゲットがまだ2m以内にいればパンチを発動する。</t>
    <rPh sb="0" eb="2">
      <t>ジョウキ</t>
    </rPh>
    <rPh sb="3" eb="5">
      <t>バアイ</t>
    </rPh>
    <rPh sb="7" eb="10">
      <t>サンコショ</t>
    </rPh>
    <rPh sb="19" eb="20">
      <t>ビョウ</t>
    </rPh>
    <rPh sb="21" eb="22">
      <t>アト</t>
    </rPh>
    <rPh sb="33" eb="35">
      <t>イナイ</t>
    </rPh>
    <rPh sb="43" eb="45">
      <t>ハツドウ</t>
    </rPh>
    <phoneticPr fontId="1"/>
  </si>
  <si>
    <t>ターゲットがいない場合、リロード時間だけをうけてフリーの状態に戻る</t>
    <rPh sb="9" eb="11">
      <t>バアイ</t>
    </rPh>
    <rPh sb="16" eb="18">
      <t>ジカン</t>
    </rPh>
    <rPh sb="28" eb="30">
      <t>ジョウタイ</t>
    </rPh>
    <rPh sb="31" eb="32">
      <t>モド</t>
    </rPh>
    <phoneticPr fontId="1"/>
  </si>
  <si>
    <t>敵を貫通する。射程まで飛んで戻ってくる。</t>
    <rPh sb="0" eb="1">
      <t>テキ</t>
    </rPh>
    <rPh sb="2" eb="4">
      <t>カンツウ</t>
    </rPh>
    <rPh sb="7" eb="9">
      <t>シャテイ</t>
    </rPh>
    <rPh sb="11" eb="12">
      <t>ト</t>
    </rPh>
    <rPh sb="14" eb="15">
      <t>モド</t>
    </rPh>
    <phoneticPr fontId="1"/>
  </si>
  <si>
    <t>狙った敵に向かい、キャラクタから1.5mの地点を中心に三鈷杵が円を描いて飛ぶ。貫通100%</t>
    <rPh sb="0" eb="1">
      <t>ネラ</t>
    </rPh>
    <rPh sb="3" eb="4">
      <t>テキ</t>
    </rPh>
    <rPh sb="5" eb="6">
      <t>ム</t>
    </rPh>
    <rPh sb="21" eb="23">
      <t>チテン</t>
    </rPh>
    <rPh sb="24" eb="26">
      <t>チュウシン</t>
    </rPh>
    <rPh sb="27" eb="30">
      <t>サンコショ</t>
    </rPh>
    <rPh sb="31" eb="32">
      <t>エン</t>
    </rPh>
    <rPh sb="33" eb="34">
      <t>エガ</t>
    </rPh>
    <rPh sb="36" eb="37">
      <t>ト</t>
    </rPh>
    <rPh sb="39" eb="41">
      <t>カンツウ</t>
    </rPh>
    <phoneticPr fontId="1"/>
  </si>
  <si>
    <t>三鈷杵が一番耐久力のある敵に向かって秒速35mで15m進む。全貫通。攻撃力50+10*WLV</t>
    <rPh sb="0" eb="3">
      <t>サンコショ</t>
    </rPh>
    <rPh sb="4" eb="6">
      <t>イチバン</t>
    </rPh>
    <rPh sb="6" eb="9">
      <t>タイキュウリョク</t>
    </rPh>
    <rPh sb="12" eb="13">
      <t>テキ</t>
    </rPh>
    <rPh sb="14" eb="15">
      <t>ム</t>
    </rPh>
    <rPh sb="18" eb="20">
      <t>ビョウソク</t>
    </rPh>
    <rPh sb="27" eb="28">
      <t>スス</t>
    </rPh>
    <rPh sb="30" eb="31">
      <t>ゼン</t>
    </rPh>
    <rPh sb="31" eb="33">
      <t>カンツウ</t>
    </rPh>
    <phoneticPr fontId="1"/>
  </si>
  <si>
    <t>0.3秒止まり、その場所からまた一番耐久力のある敵に向かって秒速35mで10m進む。4回行ったあと最後はななよに向かって戻り、ななよに接触すると消える。。</t>
    <rPh sb="3" eb="4">
      <t>ビョウ</t>
    </rPh>
    <rPh sb="4" eb="5">
      <t>ト</t>
    </rPh>
    <rPh sb="10" eb="12">
      <t>バショ</t>
    </rPh>
    <rPh sb="43" eb="44">
      <t>カイ</t>
    </rPh>
    <rPh sb="44" eb="45">
      <t>オコナ</t>
    </rPh>
    <rPh sb="49" eb="51">
      <t>サイゴ</t>
    </rPh>
    <rPh sb="56" eb="57">
      <t>ム</t>
    </rPh>
    <rPh sb="60" eb="61">
      <t>モド</t>
    </rPh>
    <rPh sb="67" eb="69">
      <t>セッショク</t>
    </rPh>
    <rPh sb="72" eb="73">
      <t>キ</t>
    </rPh>
    <phoneticPr fontId="1"/>
  </si>
  <si>
    <t>12秒に1回、自身と、自身に隣り合ったレーンのメンバー2人の属性防御力、属性デバフ抵抗を30下げる。(ダメージを減少する)。3+wlv/2秒間維持される</t>
    <rPh sb="2" eb="3">
      <t>ビョウ</t>
    </rPh>
    <rPh sb="5" eb="6">
      <t>カイ</t>
    </rPh>
    <rPh sb="7" eb="9">
      <t>ジシン</t>
    </rPh>
    <rPh sb="11" eb="13">
      <t>ジシン</t>
    </rPh>
    <rPh sb="14" eb="15">
      <t>トナ</t>
    </rPh>
    <rPh sb="16" eb="17">
      <t>ア</t>
    </rPh>
    <rPh sb="28" eb="29">
      <t>ニン</t>
    </rPh>
    <rPh sb="36" eb="38">
      <t>ゾクセイ</t>
    </rPh>
    <rPh sb="41" eb="43">
      <t>テイコウ</t>
    </rPh>
    <rPh sb="46" eb="47">
      <t>サ</t>
    </rPh>
    <rPh sb="56" eb="58">
      <t>ゲンショウ</t>
    </rPh>
    <rPh sb="69" eb="71">
      <t>ビョウカン</t>
    </rPh>
    <rPh sb="71" eb="73">
      <t>イジ</t>
    </rPh>
    <phoneticPr fontId="1"/>
  </si>
  <si>
    <t>12秒に1回、自身と、自身に隣り合ったレーンのメンバー2人の属性防御力、属性デバフ抵抗を30下げる。(ダメージを減少する)。3+wlv/2秒間維持される</t>
    <rPh sb="2" eb="3">
      <t>ビョウ</t>
    </rPh>
    <rPh sb="5" eb="6">
      <t>カイ</t>
    </rPh>
    <rPh sb="36" eb="38">
      <t>ゾクセイ</t>
    </rPh>
    <rPh sb="41" eb="43">
      <t>テイコウ</t>
    </rPh>
    <rPh sb="46" eb="47">
      <t>サ</t>
    </rPh>
    <rPh sb="56" eb="58">
      <t>ゲンショウ</t>
    </rPh>
    <rPh sb="69" eb="71">
      <t>ビョウカン</t>
    </rPh>
    <rPh sb="71" eb="73">
      <t>イジ</t>
    </rPh>
    <phoneticPr fontId="1"/>
  </si>
  <si>
    <t>管理番号</t>
    <rPh sb="0" eb="4">
      <t>カンリバンゴウ</t>
    </rPh>
    <phoneticPr fontId="1"/>
  </si>
  <si>
    <t>和名</t>
    <rPh sb="0" eb="2">
      <t>ワメイ</t>
    </rPh>
    <phoneticPr fontId="1"/>
  </si>
  <si>
    <t>登場シナリオ</t>
    <rPh sb="0" eb="2">
      <t>トウジョウ</t>
    </rPh>
    <phoneticPr fontId="1"/>
  </si>
  <si>
    <t>正位置</t>
    <rPh sb="0" eb="3">
      <t>セイイチ</t>
    </rPh>
    <phoneticPr fontId="1"/>
  </si>
  <si>
    <t>逆位置</t>
    <rPh sb="0" eb="3">
      <t>ギャクイチ</t>
    </rPh>
    <phoneticPr fontId="1"/>
  </si>
  <si>
    <t>(主)ななよとノアの呪文</t>
    <rPh sb="10" eb="12">
      <t>ジュモン</t>
    </rPh>
    <phoneticPr fontId="1"/>
  </si>
  <si>
    <t>探索時の獲得報酬のレア取得率が上がる</t>
    <rPh sb="0" eb="3">
      <t>タンサクジ</t>
    </rPh>
    <rPh sb="4" eb="6">
      <t>カクトク</t>
    </rPh>
    <rPh sb="6" eb="8">
      <t>ホウシュウ</t>
    </rPh>
    <rPh sb="11" eb="14">
      <t>シュトクリツ</t>
    </rPh>
    <rPh sb="15" eb="16">
      <t>ア</t>
    </rPh>
    <phoneticPr fontId="1"/>
  </si>
  <si>
    <t>前衛配置のキャラクタの攻撃力が20％UPし、被ダメージが20％増し(端数切上げ)になる</t>
    <rPh sb="31" eb="32">
      <t>マ</t>
    </rPh>
    <rPh sb="34" eb="36">
      <t>ハスウ</t>
    </rPh>
    <rPh sb="36" eb="38">
      <t>キリア</t>
    </rPh>
    <phoneticPr fontId="1"/>
  </si>
  <si>
    <t>魔術師</t>
    <rPh sb="0" eb="3">
      <t>マジュツシ</t>
    </rPh>
    <phoneticPr fontId="1"/>
  </si>
  <si>
    <t>アリス</t>
    <phoneticPr fontId="1"/>
  </si>
  <si>
    <t>ななよとノアの呪文</t>
    <rPh sb="7" eb="9">
      <t>ジュモン</t>
    </rPh>
    <phoneticPr fontId="1"/>
  </si>
  <si>
    <t>全員のリロード速度が10%短縮される</t>
    <rPh sb="0" eb="2">
      <t>ゼンイン</t>
    </rPh>
    <rPh sb="7" eb="9">
      <t>ソクド</t>
    </rPh>
    <rPh sb="13" eb="15">
      <t>タンシュク</t>
    </rPh>
    <phoneticPr fontId="1"/>
  </si>
  <si>
    <t>スキルの精神力消費が倍になり、威力や効果、継続時間も2倍になる</t>
    <rPh sb="4" eb="7">
      <t>セイシンリョク</t>
    </rPh>
    <rPh sb="18" eb="20">
      <t>コウカ</t>
    </rPh>
    <rPh sb="21" eb="25">
      <t>ケイゾクジカン</t>
    </rPh>
    <rPh sb="27" eb="28">
      <t>バイ</t>
    </rPh>
    <phoneticPr fontId="1"/>
  </si>
  <si>
    <t>女教皇</t>
    <rPh sb="0" eb="1">
      <t>オンナ</t>
    </rPh>
    <rPh sb="1" eb="3">
      <t>キョウコウ</t>
    </rPh>
    <phoneticPr fontId="1"/>
  </si>
  <si>
    <t>しおり</t>
    <phoneticPr fontId="1"/>
  </si>
  <si>
    <t>味方全員の攻撃の命中率が20%上がる</t>
    <rPh sb="0" eb="2">
      <t>ミカタ</t>
    </rPh>
    <rPh sb="2" eb="4">
      <t>ゼンイン</t>
    </rPh>
    <rPh sb="5" eb="7">
      <t>コウゲキ</t>
    </rPh>
    <rPh sb="8" eb="11">
      <t>メイチュウリツ</t>
    </rPh>
    <rPh sb="15" eb="16">
      <t>ア</t>
    </rPh>
    <phoneticPr fontId="1"/>
  </si>
  <si>
    <t>味方全員の命中率、攻撃力が10%上がる</t>
    <rPh sb="0" eb="4">
      <t>ミカタゼンイン</t>
    </rPh>
    <rPh sb="5" eb="8">
      <t>メイチュウリツ</t>
    </rPh>
    <rPh sb="9" eb="12">
      <t>コウゲキリョク</t>
    </rPh>
    <rPh sb="16" eb="17">
      <t>ア</t>
    </rPh>
    <phoneticPr fontId="1"/>
  </si>
  <si>
    <t>黄蘭</t>
    <rPh sb="0" eb="1">
      <t>キ</t>
    </rPh>
    <rPh sb="1" eb="2">
      <t>ラン</t>
    </rPh>
    <phoneticPr fontId="1"/>
  </si>
  <si>
    <t>マギアピルグリム1章</t>
    <rPh sb="9" eb="10">
      <t>ショウ</t>
    </rPh>
    <phoneticPr fontId="1"/>
  </si>
  <si>
    <t>味方全員の攻撃力が20%上がる</t>
    <rPh sb="0" eb="2">
      <t>ミカタ</t>
    </rPh>
    <rPh sb="2" eb="4">
      <t>ゼンイン</t>
    </rPh>
    <rPh sb="5" eb="8">
      <t>コウゲキリョク</t>
    </rPh>
    <rPh sb="12" eb="13">
      <t>ア</t>
    </rPh>
    <phoneticPr fontId="1"/>
  </si>
  <si>
    <t>前衛位置のキャラクタの攻撃力が20%上がる、後衛位置のキャラクタの攻撃力が10%下がる</t>
    <rPh sb="0" eb="2">
      <t>ゼンエイ</t>
    </rPh>
    <rPh sb="2" eb="4">
      <t>イチ</t>
    </rPh>
    <rPh sb="11" eb="14">
      <t>コウゲキリョク</t>
    </rPh>
    <rPh sb="18" eb="19">
      <t>ア</t>
    </rPh>
    <rPh sb="22" eb="24">
      <t>コウエイ</t>
    </rPh>
    <rPh sb="24" eb="26">
      <t>イチ</t>
    </rPh>
    <rPh sb="33" eb="36">
      <t>コウゲキリョク</t>
    </rPh>
    <rPh sb="40" eb="41">
      <t>サ</t>
    </rPh>
    <phoneticPr fontId="1"/>
  </si>
  <si>
    <t>皇帝</t>
    <rPh sb="0" eb="2">
      <t>コウテイ</t>
    </rPh>
    <phoneticPr fontId="1"/>
  </si>
  <si>
    <t>ノア</t>
    <phoneticPr fontId="1"/>
  </si>
  <si>
    <t>戦闘毎にランダムで味方一人の攻撃力が50%上がる。</t>
    <rPh sb="0" eb="2">
      <t>セントウ</t>
    </rPh>
    <rPh sb="2" eb="3">
      <t>ゴト</t>
    </rPh>
    <rPh sb="14" eb="17">
      <t>コウゲキリョク</t>
    </rPh>
    <phoneticPr fontId="1"/>
  </si>
  <si>
    <t>前衛位置にいるキャラクタが一人の時、そのキャラの攻撃力が50％上がる。</t>
    <rPh sb="0" eb="2">
      <t>ゼンエイ</t>
    </rPh>
    <rPh sb="2" eb="4">
      <t>イチ</t>
    </rPh>
    <rPh sb="13" eb="15">
      <t>ヒトリ</t>
    </rPh>
    <rPh sb="16" eb="17">
      <t>トキ</t>
    </rPh>
    <rPh sb="24" eb="27">
      <t>コウゲキリョク</t>
    </rPh>
    <rPh sb="31" eb="32">
      <t>ア</t>
    </rPh>
    <phoneticPr fontId="1"/>
  </si>
  <si>
    <t>教皇</t>
    <rPh sb="0" eb="2">
      <t>キョウコウ</t>
    </rPh>
    <phoneticPr fontId="1"/>
  </si>
  <si>
    <t>最も精神力の高いメンバーの最大値と同量のSPを得る。</t>
    <rPh sb="0" eb="1">
      <t>モット</t>
    </rPh>
    <rPh sb="2" eb="5">
      <t>セイシンリョク</t>
    </rPh>
    <rPh sb="6" eb="7">
      <t>タカ</t>
    </rPh>
    <rPh sb="13" eb="16">
      <t>サイダイチ</t>
    </rPh>
    <rPh sb="17" eb="19">
      <t>ドウリョウ</t>
    </rPh>
    <rPh sb="23" eb="24">
      <t>エ</t>
    </rPh>
    <phoneticPr fontId="1"/>
  </si>
  <si>
    <t>後衛位置にいるキャラクターの攻撃力が30%上がる。</t>
    <rPh sb="0" eb="2">
      <t>コウエイ</t>
    </rPh>
    <rPh sb="2" eb="4">
      <t>イチ</t>
    </rPh>
    <rPh sb="14" eb="17">
      <t>コウゲキリョク</t>
    </rPh>
    <rPh sb="21" eb="22">
      <t>ア</t>
    </rPh>
    <phoneticPr fontId="1"/>
  </si>
  <si>
    <t>恋人</t>
    <rPh sb="0" eb="2">
      <t>コイビト</t>
    </rPh>
    <phoneticPr fontId="1"/>
  </si>
  <si>
    <t>ステアー</t>
    <phoneticPr fontId="1"/>
  </si>
  <si>
    <t>最終防衛線</t>
    <rPh sb="0" eb="5">
      <t>サイシュウボウエイセン</t>
    </rPh>
    <phoneticPr fontId="1"/>
  </si>
  <si>
    <t>親愛度がプラスの場合、攻撃力が20％上がる</t>
    <rPh sb="0" eb="2">
      <t>シンアイ</t>
    </rPh>
    <rPh sb="2" eb="3">
      <t>ド</t>
    </rPh>
    <rPh sb="8" eb="10">
      <t>バアイ</t>
    </rPh>
    <rPh sb="11" eb="14">
      <t>コウゲキリョク</t>
    </rPh>
    <phoneticPr fontId="1"/>
  </si>
  <si>
    <t>親愛度が０以下の場合、攻撃力が100％上がる</t>
    <rPh sb="0" eb="2">
      <t>シンアイ</t>
    </rPh>
    <rPh sb="2" eb="3">
      <t>ド</t>
    </rPh>
    <rPh sb="5" eb="7">
      <t>イカ</t>
    </rPh>
    <rPh sb="8" eb="10">
      <t>バアイ</t>
    </rPh>
    <rPh sb="11" eb="14">
      <t>コウゲキリョク</t>
    </rPh>
    <rPh sb="19" eb="20">
      <t>ア</t>
    </rPh>
    <phoneticPr fontId="1"/>
  </si>
  <si>
    <t>戦車</t>
    <rPh sb="0" eb="2">
      <t>センシャ</t>
    </rPh>
    <phoneticPr fontId="1"/>
  </si>
  <si>
    <t>ビゾン</t>
    <phoneticPr fontId="1"/>
  </si>
  <si>
    <t>前衛配置のキャラクターのリロード時間が20%短縮される</t>
    <rPh sb="0" eb="2">
      <t>ゼンエイ</t>
    </rPh>
    <rPh sb="2" eb="4">
      <t>ハイチ</t>
    </rPh>
    <rPh sb="16" eb="18">
      <t>ジカン</t>
    </rPh>
    <rPh sb="22" eb="24">
      <t>タンシュク</t>
    </rPh>
    <phoneticPr fontId="1"/>
  </si>
  <si>
    <t>攻撃力が20%上がり、リロード時間が10%遅くなる</t>
    <rPh sb="0" eb="3">
      <t>コウゲキリョク</t>
    </rPh>
    <rPh sb="15" eb="17">
      <t>ジカン</t>
    </rPh>
    <rPh sb="21" eb="22">
      <t>オソ</t>
    </rPh>
    <phoneticPr fontId="1"/>
  </si>
  <si>
    <t>紅華</t>
    <rPh sb="0" eb="1">
      <t>クレナイ</t>
    </rPh>
    <rPh sb="1" eb="2">
      <t>ハナ</t>
    </rPh>
    <phoneticPr fontId="1"/>
  </si>
  <si>
    <t>敵が高レベルの場合、レベル差による攻撃力､命中率減少を半分にする。</t>
    <rPh sb="0" eb="1">
      <t>テキ</t>
    </rPh>
    <rPh sb="2" eb="3">
      <t>コウ</t>
    </rPh>
    <rPh sb="7" eb="9">
      <t>バアイ</t>
    </rPh>
    <rPh sb="13" eb="14">
      <t>サ</t>
    </rPh>
    <rPh sb="17" eb="20">
      <t>コウゲキリョク</t>
    </rPh>
    <rPh sb="21" eb="24">
      <t>メイチュウリツ</t>
    </rPh>
    <rPh sb="24" eb="26">
      <t>ゲンショウ</t>
    </rPh>
    <rPh sb="27" eb="29">
      <t>ハンブン</t>
    </rPh>
    <phoneticPr fontId="1"/>
  </si>
  <si>
    <t>敵が低レベルの場合、レベル差による攻撃力､命中率増加を倍にする。</t>
    <rPh sb="0" eb="1">
      <t>テキ</t>
    </rPh>
    <rPh sb="2" eb="3">
      <t>テイ</t>
    </rPh>
    <rPh sb="7" eb="9">
      <t>バアイ</t>
    </rPh>
    <rPh sb="13" eb="14">
      <t>サ</t>
    </rPh>
    <rPh sb="17" eb="20">
      <t>コウゲキリョク</t>
    </rPh>
    <rPh sb="21" eb="24">
      <t>メイチュウリツ</t>
    </rPh>
    <rPh sb="24" eb="26">
      <t>ゾウカ</t>
    </rPh>
    <rPh sb="27" eb="28">
      <t>バイ</t>
    </rPh>
    <phoneticPr fontId="1"/>
  </si>
  <si>
    <t>マギアピルグリム2章</t>
    <rPh sb="9" eb="10">
      <t>ショウ</t>
    </rPh>
    <phoneticPr fontId="1"/>
  </si>
  <si>
    <t>全員の攻撃の命中率が10％上がる、距離による命中率マイナス補正を無くす。</t>
    <rPh sb="0" eb="2">
      <t>ゼンイン</t>
    </rPh>
    <rPh sb="3" eb="5">
      <t>コウゲキ</t>
    </rPh>
    <rPh sb="6" eb="9">
      <t>メイチュウリツ</t>
    </rPh>
    <rPh sb="13" eb="14">
      <t>ア</t>
    </rPh>
    <rPh sb="17" eb="19">
      <t>キョリ</t>
    </rPh>
    <rPh sb="22" eb="25">
      <t>メイチュウリツ</t>
    </rPh>
    <rPh sb="29" eb="31">
      <t>ホセイ</t>
    </rPh>
    <rPh sb="32" eb="33">
      <t>ナ</t>
    </rPh>
    <phoneticPr fontId="1"/>
  </si>
  <si>
    <t>後衛位置にいるキャラクターの命中率が20%上がる。</t>
    <rPh sb="0" eb="2">
      <t>コウエイ</t>
    </rPh>
    <rPh sb="2" eb="4">
      <t>イチ</t>
    </rPh>
    <rPh sb="14" eb="17">
      <t>メイチュウリツ</t>
    </rPh>
    <rPh sb="21" eb="22">
      <t>ア</t>
    </rPh>
    <phoneticPr fontId="1"/>
  </si>
  <si>
    <t>運命の輪</t>
    <rPh sb="0" eb="2">
      <t>ウンメイ</t>
    </rPh>
    <rPh sb="3" eb="4">
      <t>ワ</t>
    </rPh>
    <phoneticPr fontId="1"/>
  </si>
  <si>
    <t>(主)マギアピルグリム1章</t>
    <rPh sb="12" eb="13">
      <t>ショウ</t>
    </rPh>
    <phoneticPr fontId="1"/>
  </si>
  <si>
    <t>メンバーの平均レベルで1レベル上昇できる分のストック経験点を得る。</t>
    <rPh sb="20" eb="21">
      <t>ブン</t>
    </rPh>
    <phoneticPr fontId="1"/>
  </si>
  <si>
    <t>マップ上の3つの敵のレベルが1上がる。</t>
    <rPh sb="3" eb="4">
      <t>ウエ</t>
    </rPh>
    <rPh sb="8" eb="9">
      <t>テキ</t>
    </rPh>
    <rPh sb="15" eb="16">
      <t>ア</t>
    </rPh>
    <phoneticPr fontId="1"/>
  </si>
  <si>
    <t>蒼樹</t>
    <rPh sb="0" eb="2">
      <t>アオキ</t>
    </rPh>
    <phoneticPr fontId="1"/>
  </si>
  <si>
    <t>全員の攻撃力と命中率が10％上がる</t>
    <rPh sb="0" eb="2">
      <t>ゼンイン</t>
    </rPh>
    <rPh sb="3" eb="6">
      <t>コウゲキリョク</t>
    </rPh>
    <rPh sb="7" eb="10">
      <t>メイチュウリツ</t>
    </rPh>
    <phoneticPr fontId="1"/>
  </si>
  <si>
    <t>戦闘毎にランダムで味方一人の攻撃力と命中率が50%上がる。</t>
    <rPh sb="0" eb="2">
      <t>セントウ</t>
    </rPh>
    <rPh sb="2" eb="3">
      <t>ゴト</t>
    </rPh>
    <rPh sb="14" eb="17">
      <t>コウゲキリョク</t>
    </rPh>
    <rPh sb="18" eb="21">
      <t>メイチュウリツ</t>
    </rPh>
    <phoneticPr fontId="1"/>
  </si>
  <si>
    <t>吊るされた男</t>
    <rPh sb="0" eb="1">
      <t>ツ</t>
    </rPh>
    <rPh sb="5" eb="6">
      <t>オトコ</t>
    </rPh>
    <phoneticPr fontId="1"/>
  </si>
  <si>
    <t>アヤメ</t>
    <phoneticPr fontId="1"/>
  </si>
  <si>
    <t>戦闘突入ごとにメンバーの誰か生命力を最大値の10%失い、他の誰か一人の攻撃力が20%上がる。</t>
    <rPh sb="0" eb="2">
      <t>セントウ</t>
    </rPh>
    <rPh sb="2" eb="4">
      <t>トツニュウ</t>
    </rPh>
    <rPh sb="12" eb="13">
      <t>ダレ</t>
    </rPh>
    <rPh sb="18" eb="21">
      <t>サイダイチ</t>
    </rPh>
    <rPh sb="25" eb="26">
      <t>ウシナ</t>
    </rPh>
    <rPh sb="30" eb="31">
      <t>ダレ</t>
    </rPh>
    <rPh sb="32" eb="34">
      <t>ヒトリ</t>
    </rPh>
    <phoneticPr fontId="1"/>
  </si>
  <si>
    <t>マップ上の踏破済みのヘクスに、周囲のヘクスのうち一番高いレベル+1の雑魚敵と魔女が生成される。周囲のヘクスに参照できるものがない場合マップ全体からランダムにサンプルを取る。</t>
    <rPh sb="3" eb="4">
      <t>ウエ</t>
    </rPh>
    <rPh sb="5" eb="8">
      <t>トウハスミ</t>
    </rPh>
    <rPh sb="34" eb="37">
      <t>ザコテキ</t>
    </rPh>
    <rPh sb="38" eb="40">
      <t>マジョ</t>
    </rPh>
    <rPh sb="41" eb="43">
      <t>セイセイ</t>
    </rPh>
    <rPh sb="47" eb="49">
      <t>シュウイ</t>
    </rPh>
    <rPh sb="54" eb="56">
      <t>サンショウ</t>
    </rPh>
    <rPh sb="64" eb="66">
      <t>バアイ</t>
    </rPh>
    <rPh sb="69" eb="71">
      <t>ゼンタイ</t>
    </rPh>
    <rPh sb="83" eb="84">
      <t>ト</t>
    </rPh>
    <phoneticPr fontId="1"/>
  </si>
  <si>
    <t>死神</t>
    <rPh sb="0" eb="2">
      <t>シニガミ</t>
    </rPh>
    <phoneticPr fontId="1"/>
  </si>
  <si>
    <t>ディーゲル</t>
    <phoneticPr fontId="1"/>
  </si>
  <si>
    <t>味方全員のクリティカル率が5%、クリティカル倍率が50%上がる</t>
    <rPh sb="0" eb="2">
      <t>ミカタ</t>
    </rPh>
    <rPh sb="2" eb="4">
      <t>ゼンイン</t>
    </rPh>
    <rPh sb="11" eb="12">
      <t>リツ</t>
    </rPh>
    <rPh sb="22" eb="24">
      <t>バイリツ</t>
    </rPh>
    <rPh sb="28" eb="29">
      <t>ア</t>
    </rPh>
    <phoneticPr fontId="1"/>
  </si>
  <si>
    <t>メンバー全員の最大生命力が最大の30%上がる。その分生命力を得る。</t>
    <rPh sb="7" eb="9">
      <t>サイダイ</t>
    </rPh>
    <rPh sb="25" eb="26">
      <t>ブン</t>
    </rPh>
    <rPh sb="26" eb="29">
      <t>セイメイリョク</t>
    </rPh>
    <rPh sb="30" eb="31">
      <t>エ</t>
    </rPh>
    <phoneticPr fontId="1"/>
  </si>
  <si>
    <t>味方全員の攻撃の命中率が10%上がる</t>
    <rPh sb="0" eb="2">
      <t>ミカタ</t>
    </rPh>
    <rPh sb="2" eb="4">
      <t>ゼンイン</t>
    </rPh>
    <rPh sb="5" eb="7">
      <t>コウゲキ</t>
    </rPh>
    <rPh sb="8" eb="11">
      <t>メイチュウリツ</t>
    </rPh>
    <rPh sb="15" eb="16">
      <t>ア</t>
    </rPh>
    <phoneticPr fontId="1"/>
  </si>
  <si>
    <t>味方全員のリロード時間が20％減り、命中率が10%下がる</t>
    <rPh sb="0" eb="2">
      <t>ミカタ</t>
    </rPh>
    <rPh sb="2" eb="4">
      <t>ゼンイン</t>
    </rPh>
    <rPh sb="9" eb="11">
      <t>ジカン</t>
    </rPh>
    <rPh sb="15" eb="16">
      <t>ヘ</t>
    </rPh>
    <rPh sb="18" eb="21">
      <t>メイチュウリツ</t>
    </rPh>
    <rPh sb="25" eb="26">
      <t>サ</t>
    </rPh>
    <phoneticPr fontId="1"/>
  </si>
  <si>
    <t>悪魔</t>
    <rPh sb="0" eb="2">
      <t>アクマ</t>
    </rPh>
    <phoneticPr fontId="1"/>
  </si>
  <si>
    <t>プロセル</t>
    <phoneticPr fontId="1"/>
  </si>
  <si>
    <t>戦闘毎にランダムで味方一人の攻撃力が50％上がり、1秒ごとに1点の生命力を失うようになる</t>
    <rPh sb="14" eb="17">
      <t>コウゲキリョク</t>
    </rPh>
    <rPh sb="21" eb="22">
      <t>ア</t>
    </rPh>
    <rPh sb="26" eb="27">
      <t>ビョウ</t>
    </rPh>
    <rPh sb="31" eb="32">
      <t>テン</t>
    </rPh>
    <rPh sb="33" eb="36">
      <t>セイメイリョク</t>
    </rPh>
    <rPh sb="37" eb="38">
      <t>ウシナ</t>
    </rPh>
    <phoneticPr fontId="1"/>
  </si>
  <si>
    <t>全員の精神力の上限が30％上がり、そのぶんの精神力を得る</t>
    <rPh sb="0" eb="2">
      <t>ゼンイン</t>
    </rPh>
    <rPh sb="3" eb="6">
      <t>セイシンリョク</t>
    </rPh>
    <rPh sb="7" eb="9">
      <t>ジョウゲン</t>
    </rPh>
    <rPh sb="13" eb="14">
      <t>ア</t>
    </rPh>
    <rPh sb="22" eb="25">
      <t>セイシンリョク</t>
    </rPh>
    <rPh sb="26" eb="27">
      <t>エ</t>
    </rPh>
    <phoneticPr fontId="1"/>
  </si>
  <si>
    <t>塔</t>
    <rPh sb="0" eb="1">
      <t>トウ</t>
    </rPh>
    <phoneticPr fontId="1"/>
  </si>
  <si>
    <t>天王寺さくら</t>
    <rPh sb="0" eb="3">
      <t>テンノウジ</t>
    </rPh>
    <phoneticPr fontId="1"/>
  </si>
  <si>
    <t>マギアピルグリム3章</t>
    <rPh sb="9" eb="10">
      <t>ショウ</t>
    </rPh>
    <phoneticPr fontId="1"/>
  </si>
  <si>
    <t>メンバーが2人以上であれば主人公以外のメンバーをランダムに喪失する。</t>
    <rPh sb="6" eb="7">
      <t>ニン</t>
    </rPh>
    <rPh sb="7" eb="9">
      <t>イジョウ</t>
    </rPh>
    <rPh sb="13" eb="16">
      <t>シュジンコウ</t>
    </rPh>
    <rPh sb="16" eb="18">
      <t>イガイ</t>
    </rPh>
    <rPh sb="29" eb="31">
      <t>ソウシツ</t>
    </rPh>
    <phoneticPr fontId="1"/>
  </si>
  <si>
    <t>マップ上に存在する魔女のどれか一つのレベルが2上がる</t>
    <rPh sb="3" eb="4">
      <t>ウエ</t>
    </rPh>
    <rPh sb="5" eb="7">
      <t>ソンザイ</t>
    </rPh>
    <rPh sb="9" eb="11">
      <t>マジョ</t>
    </rPh>
    <rPh sb="15" eb="16">
      <t>ヒト</t>
    </rPh>
    <rPh sb="23" eb="24">
      <t>ア</t>
    </rPh>
    <phoneticPr fontId="1"/>
  </si>
  <si>
    <t>星</t>
    <rPh sb="0" eb="1">
      <t>ホシ</t>
    </rPh>
    <phoneticPr fontId="1"/>
  </si>
  <si>
    <t>青ミク</t>
    <rPh sb="0" eb="1">
      <t>アオ</t>
    </rPh>
    <phoneticPr fontId="1"/>
  </si>
  <si>
    <t>各キャラクタの遠近どちらかの攻撃レベルを1つ上げる</t>
    <rPh sb="0" eb="1">
      <t>カク</t>
    </rPh>
    <rPh sb="7" eb="9">
      <t>エンキン</t>
    </rPh>
    <rPh sb="14" eb="16">
      <t>コウゲキ</t>
    </rPh>
    <rPh sb="22" eb="23">
      <t>ア</t>
    </rPh>
    <phoneticPr fontId="1"/>
  </si>
  <si>
    <t>だれかの遠近攻撃レベルが1づつ上がる</t>
    <rPh sb="4" eb="6">
      <t>エンキン</t>
    </rPh>
    <rPh sb="6" eb="8">
      <t>コウゲキ</t>
    </rPh>
    <rPh sb="15" eb="16">
      <t>ア</t>
    </rPh>
    <phoneticPr fontId="1"/>
  </si>
  <si>
    <t>月</t>
    <rPh sb="0" eb="1">
      <t>ツキ</t>
    </rPh>
    <phoneticPr fontId="1"/>
  </si>
  <si>
    <t>セレーネ</t>
    <phoneticPr fontId="1"/>
  </si>
  <si>
    <t>戦闘後獲得するSPが1.5倍になる</t>
    <rPh sb="0" eb="2">
      <t>セントウ</t>
    </rPh>
    <rPh sb="2" eb="3">
      <t>アト</t>
    </rPh>
    <rPh sb="3" eb="5">
      <t>カクトク</t>
    </rPh>
    <rPh sb="13" eb="14">
      <t>バイ</t>
    </rPh>
    <phoneticPr fontId="1"/>
  </si>
  <si>
    <t>メンバー全員の精神力を200増す。最大値を超えて保持される。</t>
    <rPh sb="4" eb="6">
      <t>ゼンイン</t>
    </rPh>
    <rPh sb="7" eb="10">
      <t>セイシンリョク</t>
    </rPh>
    <rPh sb="14" eb="15">
      <t>マ</t>
    </rPh>
    <rPh sb="17" eb="20">
      <t>サイダイチ</t>
    </rPh>
    <rPh sb="21" eb="22">
      <t>コ</t>
    </rPh>
    <rPh sb="24" eb="26">
      <t>ホジ</t>
    </rPh>
    <phoneticPr fontId="1"/>
  </si>
  <si>
    <t>太陽</t>
    <rPh sb="0" eb="2">
      <t>タイヨウ</t>
    </rPh>
    <phoneticPr fontId="1"/>
  </si>
  <si>
    <t>サニー</t>
    <phoneticPr fontId="1"/>
  </si>
  <si>
    <t>戦闘時の獲得経験値が1.3倍になる</t>
    <rPh sb="0" eb="3">
      <t>セントウジ</t>
    </rPh>
    <rPh sb="4" eb="6">
      <t>カクトク</t>
    </rPh>
    <rPh sb="6" eb="9">
      <t>ケイケンチ</t>
    </rPh>
    <rPh sb="13" eb="14">
      <t>バイ</t>
    </rPh>
    <phoneticPr fontId="1"/>
  </si>
  <si>
    <t>マップ上のいくつかの敵のレベルが1上がる。</t>
    <rPh sb="3" eb="4">
      <t>ウエ</t>
    </rPh>
    <rPh sb="10" eb="11">
      <t>テキ</t>
    </rPh>
    <rPh sb="17" eb="18">
      <t>ア</t>
    </rPh>
    <phoneticPr fontId="1"/>
  </si>
  <si>
    <t>審判</t>
    <rPh sb="0" eb="2">
      <t>シンパン</t>
    </rPh>
    <phoneticPr fontId="1"/>
  </si>
  <si>
    <t>ガーネット</t>
    <phoneticPr fontId="1"/>
  </si>
  <si>
    <t>(主)最終防衛線</t>
    <rPh sb="3" eb="8">
      <t>サイシュウボウエイセン</t>
    </rPh>
    <phoneticPr fontId="1"/>
  </si>
  <si>
    <t>親愛度がプラスの場合、クリティカル率が5%、クリティカル倍率が50%上がる</t>
    <rPh sb="0" eb="2">
      <t>シンアイ</t>
    </rPh>
    <rPh sb="2" eb="3">
      <t>ド</t>
    </rPh>
    <rPh sb="8" eb="10">
      <t>バアイ</t>
    </rPh>
    <phoneticPr fontId="1"/>
  </si>
  <si>
    <t>親愛度が０以下の場合、クリティカル率が10%、クリティカル倍率が100%上がる</t>
    <rPh sb="0" eb="2">
      <t>シンアイ</t>
    </rPh>
    <rPh sb="2" eb="3">
      <t>ド</t>
    </rPh>
    <rPh sb="5" eb="7">
      <t>イカ</t>
    </rPh>
    <rPh sb="8" eb="10">
      <t>バアイ</t>
    </rPh>
    <rPh sb="17" eb="18">
      <t>リツ</t>
    </rPh>
    <rPh sb="29" eb="31">
      <t>バイリツ</t>
    </rPh>
    <rPh sb="36" eb="37">
      <t>ア</t>
    </rPh>
    <phoneticPr fontId="1"/>
  </si>
  <si>
    <t>世界</t>
    <rPh sb="0" eb="2">
      <t>セカイ</t>
    </rPh>
    <phoneticPr fontId="1"/>
  </si>
  <si>
    <t>のなめ</t>
    <phoneticPr fontId="1"/>
  </si>
  <si>
    <t>敵のすべての攻撃速度、弾丸の速度、移動速度を20％遅くする</t>
    <rPh sb="0" eb="1">
      <t>テキ</t>
    </rPh>
    <rPh sb="6" eb="10">
      <t>コウゲキソクド</t>
    </rPh>
    <rPh sb="11" eb="13">
      <t>ダンガン</t>
    </rPh>
    <rPh sb="14" eb="16">
      <t>ソクド</t>
    </rPh>
    <rPh sb="17" eb="21">
      <t>イドウソクド</t>
    </rPh>
    <rPh sb="25" eb="26">
      <t>オソ</t>
    </rPh>
    <phoneticPr fontId="1"/>
  </si>
  <si>
    <t>マップ上に存在する魔女のどれか一つのレベルが1上がる</t>
    <rPh sb="3" eb="4">
      <t>ウエ</t>
    </rPh>
    <rPh sb="5" eb="7">
      <t>ソンザイ</t>
    </rPh>
    <rPh sb="9" eb="11">
      <t>マジョ</t>
    </rPh>
    <rPh sb="15" eb="16">
      <t>ヒト</t>
    </rPh>
    <rPh sb="23" eb="24">
      <t>ア</t>
    </rPh>
    <phoneticPr fontId="1"/>
  </si>
  <si>
    <t>タロットを引くと正位置、逆位置どちらかの状態で表を向き、その効果を受ける。</t>
    <rPh sb="5" eb="6">
      <t>ヒ</t>
    </rPh>
    <rPh sb="8" eb="11">
      <t>セイイチ</t>
    </rPh>
    <rPh sb="12" eb="15">
      <t>ギャクイチ</t>
    </rPh>
    <rPh sb="20" eb="22">
      <t>ジョウタイ</t>
    </rPh>
    <rPh sb="23" eb="24">
      <t>オモテ</t>
    </rPh>
    <rPh sb="25" eb="26">
      <t>ム</t>
    </rPh>
    <rPh sb="30" eb="32">
      <t>コウカ</t>
    </rPh>
    <rPh sb="33" eb="34">
      <t>ウ</t>
    </rPh>
    <phoneticPr fontId="1"/>
  </si>
  <si>
    <t>ステータス画面の「影響」という場所を開くと現在持っているタロットがずらっと並び、タップすると個々の効能を確認できる。</t>
    <rPh sb="5" eb="7">
      <t>ガメン</t>
    </rPh>
    <rPh sb="9" eb="11">
      <t>エイキョウ</t>
    </rPh>
    <rPh sb="15" eb="17">
      <t>バショ</t>
    </rPh>
    <rPh sb="18" eb="19">
      <t>ヒラ</t>
    </rPh>
    <rPh sb="21" eb="23">
      <t>ゲンザイ</t>
    </rPh>
    <rPh sb="23" eb="24">
      <t>モ</t>
    </rPh>
    <rPh sb="37" eb="38">
      <t>ナラ</t>
    </rPh>
    <rPh sb="46" eb="48">
      <t>ココ</t>
    </rPh>
    <rPh sb="49" eb="51">
      <t>コウノウ</t>
    </rPh>
    <rPh sb="52" eb="54">
      <t>カクニン</t>
    </rPh>
    <phoneticPr fontId="1"/>
  </si>
  <si>
    <t>シナリオで出現がONにされていればそのカードにまつわるキャラクターと出会い、イベントが流れた後仲間に加えるかどうか選択ができる。</t>
    <rPh sb="5" eb="7">
      <t>シュツゲン</t>
    </rPh>
    <rPh sb="34" eb="36">
      <t>デア</t>
    </rPh>
    <rPh sb="43" eb="44">
      <t>ナガ</t>
    </rPh>
    <rPh sb="46" eb="47">
      <t>アト</t>
    </rPh>
    <rPh sb="47" eb="49">
      <t>ナカマ</t>
    </rPh>
    <rPh sb="50" eb="51">
      <t>クワ</t>
    </rPh>
    <rPh sb="57" eb="59">
      <t>センタク</t>
    </rPh>
    <phoneticPr fontId="1"/>
  </si>
  <si>
    <t>008001.png</t>
    <phoneticPr fontId="1"/>
  </si>
  <si>
    <t>008001b.png</t>
    <phoneticPr fontId="1"/>
  </si>
  <si>
    <t>evx008.jpg</t>
    <phoneticPr fontId="1"/>
  </si>
  <si>
    <t>008p.jpg</t>
    <phoneticPr fontId="1"/>
  </si>
  <si>
    <t>008002.png</t>
    <phoneticPr fontId="1"/>
  </si>
  <si>
    <t>008002b.png</t>
    <phoneticPr fontId="1"/>
  </si>
  <si>
    <t>008003.png</t>
    <phoneticPr fontId="1"/>
  </si>
  <si>
    <t>007p.jpg</t>
    <phoneticPr fontId="1"/>
  </si>
  <si>
    <t>008004.png</t>
    <phoneticPr fontId="1"/>
  </si>
  <si>
    <t>ノア自身は攻撃はせず、浮遊するエネルギー球体(008003.png)が弾丸(008004.png)を飛ばし自律攻撃を行う。</t>
    <rPh sb="2" eb="4">
      <t>ジシン</t>
    </rPh>
    <rPh sb="5" eb="7">
      <t>コウゲキ</t>
    </rPh>
    <rPh sb="11" eb="13">
      <t>フユウ</t>
    </rPh>
    <rPh sb="20" eb="22">
      <t>キュウタイ</t>
    </rPh>
    <rPh sb="35" eb="37">
      <t>ダンガン</t>
    </rPh>
    <rPh sb="50" eb="51">
      <t>ト</t>
    </rPh>
    <rPh sb="53" eb="55">
      <t>ジリツ</t>
    </rPh>
    <rPh sb="55" eb="57">
      <t>コウゲキ</t>
    </rPh>
    <rPh sb="58" eb="59">
      <t>オコナ</t>
    </rPh>
    <phoneticPr fontId="1"/>
  </si>
  <si>
    <t>エネルギー球体の行動パターン</t>
    <rPh sb="5" eb="7">
      <t>キュウタイ</t>
    </rPh>
    <rPh sb="8" eb="10">
      <t>コウドウ</t>
    </rPh>
    <phoneticPr fontId="1"/>
  </si>
  <si>
    <t>・移動速度は秒速1m ・20m以内で一番近い敵に向かって移動する ・ノアから8m以上離れると移動方向をノアの方向にする 　</t>
    <rPh sb="1" eb="5">
      <t>イドウソクド</t>
    </rPh>
    <rPh sb="6" eb="8">
      <t>ビョウソク</t>
    </rPh>
    <rPh sb="40" eb="42">
      <t>イジョウ</t>
    </rPh>
    <rPh sb="42" eb="43">
      <t>ハナ</t>
    </rPh>
    <rPh sb="46" eb="50">
      <t>イドウホウコウ</t>
    </rPh>
    <rPh sb="54" eb="56">
      <t>ホウコウ</t>
    </rPh>
    <phoneticPr fontId="1"/>
  </si>
  <si>
    <t>・1秒に1回弾丸を発射する　・弾丸は命中するか射程距離10ｍ進むと爆発する。</t>
    <rPh sb="15" eb="17">
      <t>ダンガン</t>
    </rPh>
    <rPh sb="18" eb="20">
      <t>メイチュウ</t>
    </rPh>
    <rPh sb="23" eb="27">
      <t>シャテイキョリ</t>
    </rPh>
    <rPh sb="30" eb="31">
      <t>スス</t>
    </rPh>
    <rPh sb="33" eb="35">
      <t>バクハツ</t>
    </rPh>
    <phoneticPr fontId="1"/>
  </si>
  <si>
    <t>赤い弾丸</t>
    <rPh sb="0" eb="1">
      <t>アカ</t>
    </rPh>
    <rPh sb="2" eb="4">
      <t>ダンガン</t>
    </rPh>
    <phoneticPr fontId="1"/>
  </si>
  <si>
    <t>ブレ</t>
    <phoneticPr fontId="1"/>
  </si>
  <si>
    <t>ノア自身は何もしない。</t>
    <rPh sb="2" eb="4">
      <t>ジシン</t>
    </rPh>
    <rPh sb="5" eb="6">
      <t>ナニ</t>
    </rPh>
    <phoneticPr fontId="1"/>
  </si>
  <si>
    <t>敵に接近されたときだけパンチを行う。</t>
    <rPh sb="0" eb="1">
      <t>テキ</t>
    </rPh>
    <rPh sb="2" eb="4">
      <t>セッキン</t>
    </rPh>
    <rPh sb="15" eb="16">
      <t>オコナ</t>
    </rPh>
    <phoneticPr fontId="1"/>
  </si>
  <si>
    <t>命中か射程距離で半径1.5mの爆発を起こし範囲にダメージ</t>
    <rPh sb="0" eb="2">
      <t>メイチュウ</t>
    </rPh>
    <rPh sb="3" eb="7">
      <t>シャテイキョリ</t>
    </rPh>
    <rPh sb="8" eb="10">
      <t>ハンケイ</t>
    </rPh>
    <rPh sb="15" eb="17">
      <t>バクハツ</t>
    </rPh>
    <rPh sb="18" eb="19">
      <t>オ</t>
    </rPh>
    <rPh sb="21" eb="23">
      <t>ハンイ</t>
    </rPh>
    <phoneticPr fontId="1"/>
  </si>
  <si>
    <t>20+WLV</t>
    <phoneticPr fontId="1"/>
  </si>
  <si>
    <t>全貫通、攻撃力 60+5*WLV 接触した弾丸を消す</t>
    <rPh sb="0" eb="1">
      <t>ゼン</t>
    </rPh>
    <rPh sb="1" eb="3">
      <t>カンツウ</t>
    </rPh>
    <rPh sb="4" eb="7">
      <t>コウゲキリョク</t>
    </rPh>
    <rPh sb="17" eb="19">
      <t>セッショク</t>
    </rPh>
    <rPh sb="21" eb="23">
      <t>ダンガン</t>
    </rPh>
    <rPh sb="24" eb="25">
      <t>ケ</t>
    </rPh>
    <phoneticPr fontId="1"/>
  </si>
  <si>
    <t>ノアの前方1mに008004a,pngを出現させる、それは1秒かけて高さ1m、幅0.5mから高さ4m、幅6mまで拡大しながら秒速0.5ｍで前進し、同じ大きさの008004a,pngに変化したあと0.1秒ごとに秒速2mづつ加速して前進する。同じグラフィックの残像が0.1秒づつ遅れて2個重なっている。明度乗算</t>
    <rPh sb="3" eb="5">
      <t>ゼンポウ</t>
    </rPh>
    <rPh sb="20" eb="22">
      <t>シュツゲン</t>
    </rPh>
    <rPh sb="30" eb="31">
      <t>ビョウ</t>
    </rPh>
    <rPh sb="34" eb="35">
      <t>タカ</t>
    </rPh>
    <rPh sb="39" eb="40">
      <t>ハバ</t>
    </rPh>
    <rPh sb="46" eb="47">
      <t>タカ</t>
    </rPh>
    <rPh sb="51" eb="52">
      <t>ハバ</t>
    </rPh>
    <rPh sb="56" eb="58">
      <t>カクダイ</t>
    </rPh>
    <rPh sb="62" eb="64">
      <t>ビョウソク</t>
    </rPh>
    <rPh sb="69" eb="71">
      <t>ゼンシン</t>
    </rPh>
    <rPh sb="73" eb="74">
      <t>オナ</t>
    </rPh>
    <rPh sb="75" eb="76">
      <t>オオ</t>
    </rPh>
    <rPh sb="91" eb="93">
      <t>ヘンカ</t>
    </rPh>
    <rPh sb="100" eb="101">
      <t>ビョウ</t>
    </rPh>
    <rPh sb="104" eb="106">
      <t>ビョウソク</t>
    </rPh>
    <rPh sb="110" eb="112">
      <t>カソク</t>
    </rPh>
    <rPh sb="114" eb="116">
      <t>ゼンシン</t>
    </rPh>
    <rPh sb="119" eb="120">
      <t>オナ</t>
    </rPh>
    <rPh sb="128" eb="130">
      <t>ザンゾウ</t>
    </rPh>
    <rPh sb="134" eb="135">
      <t>ビョウ</t>
    </rPh>
    <rPh sb="137" eb="138">
      <t>オク</t>
    </rPh>
    <rPh sb="141" eb="142">
      <t>コ</t>
    </rPh>
    <rPh sb="142" eb="143">
      <t>カサ</t>
    </rPh>
    <rPh sb="149" eb="151">
      <t>メイド</t>
    </rPh>
    <rPh sb="151" eb="153">
      <t>ジョウサン</t>
    </rPh>
    <phoneticPr fontId="1"/>
  </si>
  <si>
    <t>・攻撃レベルがあがると球体の数が増える　(WLV/3+2)個、最大5個。</t>
    <rPh sb="1" eb="3">
      <t>コウゲキ</t>
    </rPh>
    <rPh sb="11" eb="13">
      <t>キュウタイ</t>
    </rPh>
    <rPh sb="14" eb="15">
      <t>カズ</t>
    </rPh>
    <rPh sb="16" eb="17">
      <t>フ</t>
    </rPh>
    <rPh sb="29" eb="30">
      <t>コ</t>
    </rPh>
    <rPh sb="31" eb="33">
      <t>サイダイ</t>
    </rPh>
    <rPh sb="34" eb="35">
      <t>コ</t>
    </rPh>
    <phoneticPr fontId="1"/>
  </si>
  <si>
    <t>15秒に1回、エネルギー球の位置に直径3mのフィールドを形成する。5秒間維持される。攻撃力0 。触れた敵の属性防御力を50上げる。(弱体化する)効果は敵のデバフ抵抗力によって増減する。デバフ効果は5+WLV秒維持する。</t>
    <rPh sb="2" eb="3">
      <t>ビョウ</t>
    </rPh>
    <rPh sb="5" eb="6">
      <t>カイ</t>
    </rPh>
    <rPh sb="12" eb="13">
      <t>キュウ</t>
    </rPh>
    <rPh sb="14" eb="16">
      <t>イチ</t>
    </rPh>
    <rPh sb="17" eb="19">
      <t>チョッケイ</t>
    </rPh>
    <rPh sb="28" eb="30">
      <t>ケイセイ</t>
    </rPh>
    <rPh sb="34" eb="36">
      <t>ビョウカン</t>
    </rPh>
    <rPh sb="36" eb="38">
      <t>イジ</t>
    </rPh>
    <rPh sb="42" eb="45">
      <t>コウゲキリョク</t>
    </rPh>
    <rPh sb="48" eb="49">
      <t>フ</t>
    </rPh>
    <rPh sb="51" eb="52">
      <t>テキ</t>
    </rPh>
    <rPh sb="53" eb="55">
      <t>ゾクセイ</t>
    </rPh>
    <rPh sb="55" eb="58">
      <t>ボウギョリョク</t>
    </rPh>
    <rPh sb="61" eb="62">
      <t>ア</t>
    </rPh>
    <rPh sb="66" eb="69">
      <t>ジャクタイカ</t>
    </rPh>
    <rPh sb="72" eb="74">
      <t>コウカ</t>
    </rPh>
    <rPh sb="75" eb="76">
      <t>テキ</t>
    </rPh>
    <rPh sb="80" eb="83">
      <t>テイコウリョク</t>
    </rPh>
    <rPh sb="87" eb="89">
      <t>ゾウゲン</t>
    </rPh>
    <rPh sb="95" eb="97">
      <t>コウカ</t>
    </rPh>
    <rPh sb="103" eb="104">
      <t>ビョウ</t>
    </rPh>
    <rPh sb="104" eb="106">
      <t>イジ</t>
    </rPh>
    <phoneticPr fontId="1"/>
  </si>
  <si>
    <t>赤</t>
    <rPh sb="0" eb="1">
      <t>アカ</t>
    </rPh>
    <phoneticPr fontId="1"/>
  </si>
  <si>
    <t>青</t>
    <rPh sb="0" eb="1">
      <t>アオ</t>
    </rPh>
    <phoneticPr fontId="1"/>
  </si>
  <si>
    <t>紫</t>
    <rPh sb="0" eb="1">
      <t>ムラサキ</t>
    </rPh>
    <phoneticPr fontId="1"/>
  </si>
  <si>
    <t>緑</t>
    <rPh sb="0" eb="1">
      <t>ミドリ</t>
    </rPh>
    <phoneticPr fontId="1"/>
  </si>
  <si>
    <t>黄</t>
    <rPh sb="0" eb="1">
      <t>キ</t>
    </rPh>
    <phoneticPr fontId="1"/>
  </si>
  <si>
    <t>属性防御力</t>
    <rPh sb="0" eb="2">
      <t>ゾクセイ</t>
    </rPh>
    <rPh sb="2" eb="5">
      <t>ボウギョリョク</t>
    </rPh>
    <phoneticPr fontId="1"/>
  </si>
  <si>
    <t>属性デバフ抵抗力</t>
    <rPh sb="0" eb="2">
      <t>ゾクセイ</t>
    </rPh>
    <rPh sb="5" eb="7">
      <t>テイコウ</t>
    </rPh>
    <rPh sb="7" eb="8">
      <t>リョク</t>
    </rPh>
    <phoneticPr fontId="1"/>
  </si>
  <si>
    <t>ノア</t>
    <phoneticPr fontId="1"/>
  </si>
  <si>
    <r>
      <rPr>
        <sz val="11"/>
        <rFont val="ＭＳ ゴシック"/>
        <family val="3"/>
        <charset val="128"/>
      </rPr>
      <t>進む距離は</t>
    </r>
    <r>
      <rPr>
        <sz val="11"/>
        <rFont val="Arial"/>
        <family val="2"/>
      </rPr>
      <t>15m</t>
    </r>
    <r>
      <rPr>
        <sz val="11"/>
        <rFont val="ＭＳ ゴシック"/>
        <family val="3"/>
        <charset val="128"/>
      </rPr>
      <t>？にしてたと思うけど</t>
    </r>
    <r>
      <rPr>
        <sz val="11"/>
        <rFont val="Arial"/>
        <family val="2"/>
      </rPr>
      <t>8m</t>
    </r>
    <r>
      <rPr>
        <sz val="11"/>
        <rFont val="ＭＳ ゴシック"/>
        <family val="3"/>
        <charset val="128"/>
      </rPr>
      <t>として。その爆発は</t>
    </r>
    <r>
      <rPr>
        <sz val="11"/>
        <rFont val="Arial"/>
        <family val="2"/>
      </rPr>
      <t>5</t>
    </r>
    <r>
      <rPr>
        <sz val="11"/>
        <rFont val="ＭＳ ゴシック"/>
        <family val="3"/>
        <charset val="128"/>
      </rPr>
      <t>秒</t>
    </r>
    <r>
      <rPr>
        <sz val="11"/>
        <rFont val="Arial"/>
        <family val="2"/>
      </rPr>
      <t>+</t>
    </r>
    <r>
      <rPr>
        <sz val="11"/>
        <rFont val="ＭＳ ゴシック"/>
        <family val="3"/>
        <charset val="128"/>
      </rPr>
      <t>（</t>
    </r>
    <r>
      <rPr>
        <sz val="11"/>
        <rFont val="Arial"/>
        <family val="2"/>
      </rPr>
      <t>WLV/2</t>
    </r>
    <r>
      <rPr>
        <sz val="11"/>
        <rFont val="ＭＳ ゴシック"/>
        <family val="3"/>
        <charset val="128"/>
      </rPr>
      <t>）秒持続し、敵にダメージを与え続け</t>
    </r>
    <r>
      <rPr>
        <sz val="11"/>
        <rFont val="Arial"/>
        <family val="2"/>
      </rPr>
      <t>(</t>
    </r>
    <r>
      <rPr>
        <sz val="11"/>
        <rFont val="ＭＳ ゴシック"/>
        <family val="3"/>
        <charset val="128"/>
      </rPr>
      <t>攻撃力の</t>
    </r>
    <r>
      <rPr>
        <sz val="11"/>
        <rFont val="Arial"/>
        <family val="2"/>
      </rPr>
      <t>10%+WLV</t>
    </r>
    <r>
      <rPr>
        <sz val="11"/>
        <rFont val="ＭＳ ゴシック"/>
        <family val="3"/>
        <charset val="128"/>
      </rPr>
      <t>％</t>
    </r>
    <r>
      <rPr>
        <sz val="11"/>
        <rFont val="Arial"/>
        <family val="2"/>
      </rPr>
      <t>)</t>
    </r>
    <r>
      <rPr>
        <sz val="11"/>
        <rFont val="ＭＳ ゴシック"/>
        <family val="3"/>
        <charset val="128"/>
      </rPr>
      <t>、弾丸を吸収し続ける。　</t>
    </r>
    <phoneticPr fontId="1"/>
  </si>
  <si>
    <t>紫</t>
    <rPh sb="0" eb="1">
      <t>ムラサキ</t>
    </rPh>
    <phoneticPr fontId="1"/>
  </si>
  <si>
    <t>氷の塊を飛ばし、命中または射程いっぱいで爆発して周辺に凍結フィールドを形成する。</t>
    <rPh sb="0" eb="1">
      <t>コオリ</t>
    </rPh>
    <rPh sb="2" eb="3">
      <t>カタマリ</t>
    </rPh>
    <rPh sb="4" eb="5">
      <t>ト</t>
    </rPh>
    <rPh sb="8" eb="10">
      <t>メイチュウ</t>
    </rPh>
    <rPh sb="13" eb="15">
      <t>シャテイ</t>
    </rPh>
    <rPh sb="20" eb="22">
      <t>バクハツ</t>
    </rPh>
    <rPh sb="24" eb="26">
      <t>シュウヘン</t>
    </rPh>
    <rPh sb="27" eb="29">
      <t>トウケツ</t>
    </rPh>
    <rPh sb="35" eb="37">
      <t>ケイセイ</t>
    </rPh>
    <phoneticPr fontId="1"/>
  </si>
  <si>
    <t>近接では速い速度でつららを発生させて飛ばす。</t>
    <rPh sb="0" eb="2">
      <t>キンセツ</t>
    </rPh>
    <rPh sb="4" eb="5">
      <t>ハヤ</t>
    </rPh>
    <rPh sb="6" eb="8">
      <t>ソクド</t>
    </rPh>
    <rPh sb="13" eb="15">
      <t>ハッセイ</t>
    </rPh>
    <rPh sb="18" eb="19">
      <t>ト</t>
    </rPh>
    <phoneticPr fontId="1"/>
  </si>
  <si>
    <t>SPによる回復を行うことができず、精神力を失うと消える。</t>
    <rPh sb="5" eb="7">
      <t>カイフク</t>
    </rPh>
    <rPh sb="8" eb="9">
      <t>オコナ</t>
    </rPh>
    <rPh sb="17" eb="20">
      <t>セイシンリョク</t>
    </rPh>
    <rPh sb="21" eb="22">
      <t>ウシナ</t>
    </rPh>
    <rPh sb="24" eb="25">
      <t>キ</t>
    </rPh>
    <phoneticPr fontId="1"/>
  </si>
  <si>
    <t>リフィエル</t>
    <phoneticPr fontId="1"/>
  </si>
  <si>
    <t>必殺技を発動すると一定時間大人の姿になり紅華のように槍で戦う。</t>
    <rPh sb="0" eb="3">
      <t>ヒッサツワザ</t>
    </rPh>
    <rPh sb="4" eb="6">
      <t>ハツドウ</t>
    </rPh>
    <rPh sb="9" eb="13">
      <t>イッテイジカン</t>
    </rPh>
    <rPh sb="13" eb="15">
      <t>オトナ</t>
    </rPh>
    <rPh sb="16" eb="17">
      <t>スガタ</t>
    </rPh>
    <rPh sb="20" eb="22">
      <t>コウカ</t>
    </rPh>
    <rPh sb="26" eb="27">
      <t>ヤリ</t>
    </rPh>
    <rPh sb="28" eb="29">
      <t>タタカ</t>
    </rPh>
    <phoneticPr fontId="1"/>
  </si>
  <si>
    <t>通常時は仲間に回復、バリアの展開、敵へのデバフを行う。</t>
    <rPh sb="0" eb="3">
      <t>ツウジョウジ</t>
    </rPh>
    <rPh sb="4" eb="6">
      <t>ナカマ</t>
    </rPh>
    <rPh sb="7" eb="9">
      <t>カイフク</t>
    </rPh>
    <rPh sb="14" eb="16">
      <t>テンカイ</t>
    </rPh>
    <rPh sb="17" eb="18">
      <t>テキ</t>
    </rPh>
    <rPh sb="24" eb="25">
      <t>オコナ</t>
    </rPh>
    <phoneticPr fontId="1"/>
  </si>
  <si>
    <t>009001.png</t>
    <phoneticPr fontId="1"/>
  </si>
  <si>
    <t>009001b.png</t>
    <phoneticPr fontId="1"/>
  </si>
  <si>
    <t>009p.jpg</t>
    <phoneticPr fontId="1"/>
  </si>
  <si>
    <t>evx009.jpg</t>
    <phoneticPr fontId="1"/>
  </si>
  <si>
    <t>009002.png</t>
    <phoneticPr fontId="1"/>
  </si>
  <si>
    <t>009002b.png</t>
    <phoneticPr fontId="1"/>
  </si>
  <si>
    <t>009003.png</t>
    <phoneticPr fontId="1"/>
  </si>
  <si>
    <t>必殺技を発動すると10+WLV秒の間姿が変わる。</t>
    <rPh sb="0" eb="3">
      <t>ヒッサツワザ</t>
    </rPh>
    <rPh sb="4" eb="6">
      <t>ハツドウ</t>
    </rPh>
    <rPh sb="15" eb="16">
      <t>ビョウ</t>
    </rPh>
    <rPh sb="17" eb="18">
      <t>アイダ</t>
    </rPh>
    <rPh sb="18" eb="19">
      <t>スガタ</t>
    </rPh>
    <rPh sb="20" eb="21">
      <t>カ</t>
    </rPh>
    <phoneticPr fontId="1"/>
  </si>
  <si>
    <t>-</t>
    <phoneticPr fontId="1"/>
  </si>
  <si>
    <t>槍回しの射程内に敵が居ない場合、槍投げを行う。</t>
    <rPh sb="0" eb="1">
      <t>ヤリ</t>
    </rPh>
    <rPh sb="1" eb="2">
      <t>マワ</t>
    </rPh>
    <rPh sb="4" eb="6">
      <t>シャテイ</t>
    </rPh>
    <rPh sb="6" eb="7">
      <t>ナイ</t>
    </rPh>
    <rPh sb="8" eb="9">
      <t>テキ</t>
    </rPh>
    <rPh sb="10" eb="11">
      <t>イ</t>
    </rPh>
    <rPh sb="13" eb="15">
      <t>バアイ</t>
    </rPh>
    <rPh sb="16" eb="17">
      <t>ヤリ</t>
    </rPh>
    <rPh sb="17" eb="18">
      <t>ナ</t>
    </rPh>
    <rPh sb="20" eb="21">
      <t>オコナ</t>
    </rPh>
    <phoneticPr fontId="1"/>
  </si>
  <si>
    <t>花粉煙幕</t>
    <rPh sb="0" eb="2">
      <t>カフン</t>
    </rPh>
    <rPh sb="2" eb="4">
      <t>エンマク</t>
    </rPh>
    <phoneticPr fontId="1"/>
  </si>
  <si>
    <t>命中か射程距離で半径1.5mの爆発を起こし2秒持続、範囲に防御力減少5秒(全属性値50UP)、弾丸を吸収する。</t>
    <rPh sb="0" eb="2">
      <t>メイチュウ</t>
    </rPh>
    <rPh sb="3" eb="7">
      <t>シャテイキョリ</t>
    </rPh>
    <rPh sb="8" eb="10">
      <t>ハンケイ</t>
    </rPh>
    <rPh sb="15" eb="17">
      <t>バクハツ</t>
    </rPh>
    <rPh sb="18" eb="19">
      <t>オ</t>
    </rPh>
    <rPh sb="22" eb="23">
      <t>ビョウ</t>
    </rPh>
    <rPh sb="23" eb="25">
      <t>ジゾク</t>
    </rPh>
    <rPh sb="26" eb="28">
      <t>ハンイ</t>
    </rPh>
    <rPh sb="29" eb="32">
      <t>ボウギョリョク</t>
    </rPh>
    <rPh sb="32" eb="34">
      <t>ゲンショウ</t>
    </rPh>
    <rPh sb="35" eb="36">
      <t>ビョウ</t>
    </rPh>
    <rPh sb="37" eb="41">
      <t>ゼンゾクセイチ</t>
    </rPh>
    <rPh sb="47" eb="49">
      <t>ダンガン</t>
    </rPh>
    <rPh sb="50" eb="52">
      <t>キュウシュウ</t>
    </rPh>
    <phoneticPr fontId="1"/>
  </si>
  <si>
    <t>ー</t>
    <phoneticPr fontId="1"/>
  </si>
  <si>
    <t>ダメージを与える攻撃は行わない。</t>
    <rPh sb="5" eb="6">
      <t>アタ</t>
    </rPh>
    <rPh sb="8" eb="10">
      <t>コウゲキ</t>
    </rPh>
    <rPh sb="11" eb="12">
      <t>オコナ</t>
    </rPh>
    <phoneticPr fontId="1"/>
  </si>
  <si>
    <t>リフィエルは敵が近くても遠くても行動パターンは同じ。</t>
    <rPh sb="6" eb="7">
      <t>テキ</t>
    </rPh>
    <rPh sb="8" eb="9">
      <t>チカ</t>
    </rPh>
    <rPh sb="12" eb="13">
      <t>トオ</t>
    </rPh>
    <rPh sb="16" eb="18">
      <t>コウドウ</t>
    </rPh>
    <rPh sb="23" eb="24">
      <t>オナ</t>
    </rPh>
    <phoneticPr fontId="1"/>
  </si>
  <si>
    <t>つらら大</t>
    <rPh sb="3" eb="4">
      <t>ダイ</t>
    </rPh>
    <phoneticPr fontId="1"/>
  </si>
  <si>
    <t xml:space="preserve">減衰1/3貫通　命中か射程距離で半径1.5mの氷塊(008004.png)を作り2秒維持、範囲にダメージ(攻撃力の10%) </t>
    <rPh sb="0" eb="2">
      <t>ゲンスイ</t>
    </rPh>
    <rPh sb="5" eb="7">
      <t>カンツウ</t>
    </rPh>
    <rPh sb="8" eb="10">
      <t>メイチュウ</t>
    </rPh>
    <rPh sb="11" eb="15">
      <t>シャテイキョリ</t>
    </rPh>
    <rPh sb="16" eb="18">
      <t>ハンケイ</t>
    </rPh>
    <rPh sb="23" eb="25">
      <t>ヒョウカイ</t>
    </rPh>
    <rPh sb="38" eb="39">
      <t>ツク</t>
    </rPh>
    <rPh sb="41" eb="42">
      <t>ビョウ</t>
    </rPh>
    <rPh sb="42" eb="44">
      <t>イジ</t>
    </rPh>
    <rPh sb="45" eb="47">
      <t>ハンイ</t>
    </rPh>
    <rPh sb="53" eb="56">
      <t>コウゲキリョク</t>
    </rPh>
    <phoneticPr fontId="1"/>
  </si>
  <si>
    <t>つらら小</t>
    <rPh sb="3" eb="4">
      <t>ショウ</t>
    </rPh>
    <phoneticPr fontId="1"/>
  </si>
  <si>
    <t>つらら大、つらら小の発射時、本体中心ではなく本体中心から距離1mのランダム位置から発射される。</t>
    <rPh sb="3" eb="4">
      <t>ダイ</t>
    </rPh>
    <rPh sb="8" eb="9">
      <t>ショウ</t>
    </rPh>
    <rPh sb="10" eb="12">
      <t>ハッシャ</t>
    </rPh>
    <rPh sb="12" eb="13">
      <t>トキ</t>
    </rPh>
    <rPh sb="14" eb="16">
      <t>ホンタイ</t>
    </rPh>
    <rPh sb="16" eb="18">
      <t>チュウシン</t>
    </rPh>
    <rPh sb="22" eb="26">
      <t>ホンタイチュウシン</t>
    </rPh>
    <rPh sb="28" eb="30">
      <t>キョリ</t>
    </rPh>
    <rPh sb="37" eb="39">
      <t>イチ</t>
    </rPh>
    <rPh sb="41" eb="43">
      <t>ハッシャ</t>
    </rPh>
    <phoneticPr fontId="1"/>
  </si>
  <si>
    <t>減衰1/3貫通</t>
    <rPh sb="0" eb="2">
      <t>ゲンスイ</t>
    </rPh>
    <rPh sb="5" eb="7">
      <t>カンツウ</t>
    </rPh>
    <phoneticPr fontId="1"/>
  </si>
  <si>
    <t>10秒に1回、自身の2m前に氷塊(008004.png)を生成する。直径1.5mまで拡大し、敵の弾丸を5+WLVぶん吸収するか、6秒経過で消える</t>
    <rPh sb="2" eb="3">
      <t>ビョウ</t>
    </rPh>
    <rPh sb="5" eb="6">
      <t>カイ</t>
    </rPh>
    <rPh sb="7" eb="9">
      <t>ジシン</t>
    </rPh>
    <rPh sb="12" eb="13">
      <t>マエ</t>
    </rPh>
    <rPh sb="14" eb="15">
      <t>コオリ</t>
    </rPh>
    <rPh sb="15" eb="16">
      <t>カタマリ</t>
    </rPh>
    <rPh sb="29" eb="31">
      <t>セイセイ</t>
    </rPh>
    <rPh sb="34" eb="36">
      <t>チョッケイ</t>
    </rPh>
    <rPh sb="42" eb="44">
      <t>カクダイ</t>
    </rPh>
    <rPh sb="46" eb="47">
      <t>テキ</t>
    </rPh>
    <rPh sb="48" eb="50">
      <t>ダンガン</t>
    </rPh>
    <rPh sb="58" eb="60">
      <t>キュウシュウ</t>
    </rPh>
    <rPh sb="65" eb="66">
      <t>ビョウ</t>
    </rPh>
    <rPh sb="66" eb="68">
      <t>ケイカ</t>
    </rPh>
    <rPh sb="69" eb="70">
      <t>キ</t>
    </rPh>
    <phoneticPr fontId="1"/>
  </si>
  <si>
    <t>10秒に1回、自身の8m前に氷塊(008004.png)を生成する。直径1.5mまで拡大し、敵の弾丸を5+WLVぶん吸収するか、6秒経過で消える</t>
    <rPh sb="2" eb="3">
      <t>ビョウ</t>
    </rPh>
    <rPh sb="5" eb="6">
      <t>カイ</t>
    </rPh>
    <rPh sb="7" eb="9">
      <t>ジシン</t>
    </rPh>
    <rPh sb="12" eb="13">
      <t>マエ</t>
    </rPh>
    <rPh sb="14" eb="15">
      <t>コオリ</t>
    </rPh>
    <rPh sb="15" eb="16">
      <t>カタマリ</t>
    </rPh>
    <rPh sb="29" eb="31">
      <t>セイセイ</t>
    </rPh>
    <rPh sb="34" eb="36">
      <t>チョッケイ</t>
    </rPh>
    <rPh sb="42" eb="44">
      <t>カクダイ</t>
    </rPh>
    <rPh sb="46" eb="47">
      <t>テキ</t>
    </rPh>
    <rPh sb="48" eb="50">
      <t>ダンガン</t>
    </rPh>
    <rPh sb="58" eb="60">
      <t>キュウシュウ</t>
    </rPh>
    <rPh sb="65" eb="66">
      <t>ビョウ</t>
    </rPh>
    <rPh sb="66" eb="68">
      <t>ケイカ</t>
    </rPh>
    <rPh sb="69" eb="70">
      <t>キ</t>
    </rPh>
    <phoneticPr fontId="1"/>
  </si>
  <si>
    <t>※つらら大、つらら小の発射時、本体中心ではなく本体中心から距離1mのランダム位置から発射される。</t>
    <rPh sb="4" eb="5">
      <t>ダイ</t>
    </rPh>
    <rPh sb="9" eb="10">
      <t>ショウ</t>
    </rPh>
    <rPh sb="11" eb="13">
      <t>ハッシャ</t>
    </rPh>
    <rPh sb="13" eb="14">
      <t>トキ</t>
    </rPh>
    <rPh sb="15" eb="17">
      <t>ホンタイ</t>
    </rPh>
    <rPh sb="17" eb="19">
      <t>チュウシン</t>
    </rPh>
    <rPh sb="23" eb="27">
      <t>ホンタイチュウシン</t>
    </rPh>
    <rPh sb="29" eb="31">
      <t>キョリ</t>
    </rPh>
    <rPh sb="38" eb="40">
      <t>イチ</t>
    </rPh>
    <rPh sb="42" eb="44">
      <t>ハッシャ</t>
    </rPh>
    <phoneticPr fontId="1"/>
  </si>
  <si>
    <t>目標を設定せず、つらら大とつらら小を真上から左右に5度づつランダムな角度に乱射する。</t>
    <rPh sb="0" eb="2">
      <t>モクヒョウ</t>
    </rPh>
    <rPh sb="3" eb="5">
      <t>セッテイ</t>
    </rPh>
    <rPh sb="11" eb="12">
      <t>ダイ</t>
    </rPh>
    <rPh sb="16" eb="17">
      <t>ショウ</t>
    </rPh>
    <rPh sb="18" eb="20">
      <t>マウエ</t>
    </rPh>
    <rPh sb="22" eb="24">
      <t>サユウ</t>
    </rPh>
    <rPh sb="26" eb="27">
      <t>ド</t>
    </rPh>
    <rPh sb="34" eb="36">
      <t>カクド</t>
    </rPh>
    <rPh sb="37" eb="39">
      <t>ランシャ</t>
    </rPh>
    <phoneticPr fontId="1"/>
  </si>
  <si>
    <t>射程距離分進むとつらら小は消え、つらら大は氷塊を生成する。</t>
    <rPh sb="0" eb="5">
      <t>シャテイキョリブン</t>
    </rPh>
    <rPh sb="5" eb="6">
      <t>スス</t>
    </rPh>
    <rPh sb="11" eb="12">
      <t>ショウ</t>
    </rPh>
    <rPh sb="13" eb="14">
      <t>キ</t>
    </rPh>
    <rPh sb="19" eb="20">
      <t>ダイ</t>
    </rPh>
    <rPh sb="21" eb="23">
      <t>ヒョウカイ</t>
    </rPh>
    <rPh sb="24" eb="26">
      <t>セイセイ</t>
    </rPh>
    <phoneticPr fontId="1"/>
  </si>
  <si>
    <t>つらら大を0.4秒に1発、つらら小を0.2秒に1発、3秒間+(WLV/3)秒間乱射する。</t>
    <rPh sb="3" eb="4">
      <t>ダイ</t>
    </rPh>
    <rPh sb="8" eb="9">
      <t>ビョウ</t>
    </rPh>
    <rPh sb="11" eb="12">
      <t>ハツ</t>
    </rPh>
    <rPh sb="16" eb="17">
      <t>ショウ</t>
    </rPh>
    <rPh sb="21" eb="22">
      <t>ビョウ</t>
    </rPh>
    <rPh sb="24" eb="25">
      <t>ハツ</t>
    </rPh>
    <rPh sb="27" eb="29">
      <t>ビョウカン</t>
    </rPh>
    <rPh sb="37" eb="39">
      <t>ビョウカン</t>
    </rPh>
    <rPh sb="39" eb="41">
      <t>ランシャ</t>
    </rPh>
    <phoneticPr fontId="1"/>
  </si>
  <si>
    <t>リロード時間 30秒-WLV*2</t>
    <rPh sb="4" eb="6">
      <t>ジカン</t>
    </rPh>
    <rPh sb="9" eb="10">
      <t>ビョウ</t>
    </rPh>
    <phoneticPr fontId="1"/>
  </si>
  <si>
    <t>010001.png</t>
    <phoneticPr fontId="1"/>
  </si>
  <si>
    <t>010002.png</t>
    <phoneticPr fontId="1"/>
  </si>
  <si>
    <t>010003.png</t>
    <phoneticPr fontId="1"/>
  </si>
  <si>
    <t>010001b.png</t>
    <phoneticPr fontId="1"/>
  </si>
  <si>
    <t>010002b.png</t>
    <phoneticPr fontId="1"/>
  </si>
  <si>
    <t>010004.png</t>
    <phoneticPr fontId="1"/>
  </si>
  <si>
    <t>010p.jpg</t>
    <phoneticPr fontId="1"/>
  </si>
  <si>
    <t>evx010.jpg</t>
    <phoneticPr fontId="1"/>
  </si>
  <si>
    <t>魔法少女強化プログラム</t>
    <rPh sb="0" eb="4">
      <t>マホウショウジョ</t>
    </rPh>
    <rPh sb="4" eb="6">
      <t>キョウカ</t>
    </rPh>
    <phoneticPr fontId="1"/>
  </si>
  <si>
    <t>プロセルが作った魔法少女の強化システム。</t>
    <rPh sb="5" eb="6">
      <t>ツク</t>
    </rPh>
    <rPh sb="8" eb="12">
      <t>マホウショウジョ</t>
    </rPh>
    <rPh sb="13" eb="15">
      <t>キョウカ</t>
    </rPh>
    <phoneticPr fontId="1"/>
  </si>
  <si>
    <t>SPを消費して強化を購入することができる。</t>
    <rPh sb="3" eb="5">
      <t>ショウヒ</t>
    </rPh>
    <rPh sb="7" eb="9">
      <t>キョウカ</t>
    </rPh>
    <rPh sb="10" eb="12">
      <t>コウニュウ</t>
    </rPh>
    <phoneticPr fontId="1"/>
  </si>
  <si>
    <t>基礎HP+100</t>
    <rPh sb="0" eb="2">
      <t>キソ</t>
    </rPh>
    <phoneticPr fontId="1"/>
  </si>
  <si>
    <t>基礎強化II</t>
    <rPh sb="0" eb="2">
      <t>キソ</t>
    </rPh>
    <rPh sb="2" eb="4">
      <t>キョウカ</t>
    </rPh>
    <phoneticPr fontId="1"/>
  </si>
  <si>
    <t>基礎強化I</t>
    <rPh sb="0" eb="2">
      <t>キソ</t>
    </rPh>
    <rPh sb="2" eb="4">
      <t>キョウカ</t>
    </rPh>
    <phoneticPr fontId="1"/>
  </si>
  <si>
    <t>基礎強化III</t>
    <rPh sb="0" eb="2">
      <t>キソ</t>
    </rPh>
    <rPh sb="2" eb="4">
      <t>キョウカ</t>
    </rPh>
    <phoneticPr fontId="1"/>
  </si>
  <si>
    <t>SPを支払うことで能力を獲得できる。</t>
    <rPh sb="3" eb="5">
      <t>シハラ</t>
    </rPh>
    <rPh sb="9" eb="11">
      <t>ノウリョク</t>
    </rPh>
    <rPh sb="12" eb="14">
      <t>カクトク</t>
    </rPh>
    <phoneticPr fontId="1"/>
  </si>
  <si>
    <t>基礎強化IV</t>
    <rPh sb="0" eb="4">
      <t>キソキョウカ</t>
    </rPh>
    <phoneticPr fontId="1"/>
  </si>
  <si>
    <t>基礎強化V</t>
    <rPh sb="0" eb="2">
      <t>キソ</t>
    </rPh>
    <rPh sb="2" eb="4">
      <t>キョウカ</t>
    </rPh>
    <phoneticPr fontId="1"/>
  </si>
  <si>
    <t>基礎攻撃力を10上げる。</t>
    <rPh sb="0" eb="2">
      <t>キソ</t>
    </rPh>
    <rPh sb="2" eb="5">
      <t>コウゲキリョク</t>
    </rPh>
    <rPh sb="8" eb="9">
      <t>ア</t>
    </rPh>
    <phoneticPr fontId="1"/>
  </si>
  <si>
    <t>基礎回避率を5%上げる。</t>
    <rPh sb="0" eb="2">
      <t>キソ</t>
    </rPh>
    <rPh sb="2" eb="5">
      <t>カイヒリツ</t>
    </rPh>
    <rPh sb="8" eb="9">
      <t>ア</t>
    </rPh>
    <phoneticPr fontId="1"/>
  </si>
  <si>
    <t>基礎HP成長率を2%上げる</t>
    <rPh sb="0" eb="2">
      <t>キソ</t>
    </rPh>
    <rPh sb="4" eb="7">
      <t>セイチョウリツ</t>
    </rPh>
    <rPh sb="10" eb="11">
      <t>ア</t>
    </rPh>
    <phoneticPr fontId="1"/>
  </si>
  <si>
    <t>機敏性強化</t>
    <rPh sb="0" eb="3">
      <t>キビンセイ</t>
    </rPh>
    <rPh sb="3" eb="5">
      <t>キョウカ</t>
    </rPh>
    <phoneticPr fontId="1"/>
  </si>
  <si>
    <t>攻性潜在力強化</t>
    <rPh sb="0" eb="1">
      <t>コウ</t>
    </rPh>
    <rPh sb="1" eb="2">
      <t>セイ</t>
    </rPh>
    <rPh sb="2" eb="5">
      <t>センザイリョク</t>
    </rPh>
    <rPh sb="5" eb="7">
      <t>キョウカ</t>
    </rPh>
    <phoneticPr fontId="1"/>
  </si>
  <si>
    <t>攻性強化</t>
    <rPh sb="0" eb="1">
      <t>コウ</t>
    </rPh>
    <rPh sb="1" eb="2">
      <t>セイ</t>
    </rPh>
    <rPh sb="2" eb="4">
      <t>キョウカ</t>
    </rPh>
    <phoneticPr fontId="1"/>
  </si>
  <si>
    <t>機敏性潜在力強化</t>
    <rPh sb="0" eb="2">
      <t>キビン</t>
    </rPh>
    <rPh sb="2" eb="3">
      <t>セイ</t>
    </rPh>
    <rPh sb="3" eb="6">
      <t>センザイリョク</t>
    </rPh>
    <rPh sb="6" eb="8">
      <t>キョウカ</t>
    </rPh>
    <phoneticPr fontId="1"/>
  </si>
  <si>
    <t>基礎攻撃力成長率を2%上げる</t>
    <rPh sb="0" eb="2">
      <t>キソ</t>
    </rPh>
    <rPh sb="2" eb="5">
      <t>コウゲキリョク</t>
    </rPh>
    <rPh sb="5" eb="8">
      <t>セイチョウリツ</t>
    </rPh>
    <rPh sb="11" eb="12">
      <t>ア</t>
    </rPh>
    <phoneticPr fontId="1"/>
  </si>
  <si>
    <t>SPを使ったMPの回復効率を10%上げる(効率0.1％→0.11%に)</t>
    <rPh sb="3" eb="4">
      <t>ツカ</t>
    </rPh>
    <rPh sb="9" eb="13">
      <t>カイフクコウリツ</t>
    </rPh>
    <rPh sb="17" eb="18">
      <t>ア</t>
    </rPh>
    <rPh sb="21" eb="23">
      <t>コウリツ</t>
    </rPh>
    <phoneticPr fontId="1"/>
  </si>
  <si>
    <t>基礎MP+100</t>
    <rPh sb="0" eb="2">
      <t>キソ</t>
    </rPh>
    <phoneticPr fontId="1"/>
  </si>
  <si>
    <t>WAZA学科</t>
    <rPh sb="4" eb="6">
      <t>ガッカ</t>
    </rPh>
    <phoneticPr fontId="1"/>
  </si>
  <si>
    <t>基礎MP成長率を2%上げる</t>
    <rPh sb="0" eb="2">
      <t>キソ</t>
    </rPh>
    <rPh sb="4" eb="7">
      <t>セイチョウリツ</t>
    </rPh>
    <rPh sb="10" eb="11">
      <t>ア</t>
    </rPh>
    <phoneticPr fontId="1"/>
  </si>
  <si>
    <t>基礎CH率強化</t>
    <rPh sb="0" eb="2">
      <t>キソ</t>
    </rPh>
    <rPh sb="4" eb="5">
      <t>リツ</t>
    </rPh>
    <rPh sb="5" eb="7">
      <t>キョウカ</t>
    </rPh>
    <phoneticPr fontId="1"/>
  </si>
  <si>
    <t>基礎CH倍率強化</t>
    <rPh sb="0" eb="2">
      <t>キソ</t>
    </rPh>
    <rPh sb="4" eb="6">
      <t>バイリツ</t>
    </rPh>
    <rPh sb="6" eb="8">
      <t>キョウカ</t>
    </rPh>
    <phoneticPr fontId="1"/>
  </si>
  <si>
    <t>CH率が3％上がる</t>
    <rPh sb="2" eb="3">
      <t>リツ</t>
    </rPh>
    <rPh sb="6" eb="7">
      <t>ア</t>
    </rPh>
    <phoneticPr fontId="1"/>
  </si>
  <si>
    <t>CH倍率が30％上がる</t>
    <rPh sb="2" eb="4">
      <t>バイリツ</t>
    </rPh>
    <rPh sb="8" eb="9">
      <t>ア</t>
    </rPh>
    <phoneticPr fontId="1"/>
  </si>
  <si>
    <t>A</t>
    <phoneticPr fontId="1"/>
  </si>
  <si>
    <t>B</t>
    <phoneticPr fontId="1"/>
  </si>
  <si>
    <t>C</t>
    <phoneticPr fontId="1"/>
  </si>
  <si>
    <t>D</t>
    <phoneticPr fontId="1"/>
  </si>
  <si>
    <t>KOKORO学科</t>
    <rPh sb="6" eb="8">
      <t>ガッカ</t>
    </rPh>
    <phoneticPr fontId="1"/>
  </si>
  <si>
    <t>KARADA学科</t>
    <rPh sb="6" eb="8">
      <t>ガッカ</t>
    </rPh>
    <phoneticPr fontId="1"/>
  </si>
  <si>
    <t>Aカテゴリをすべて履修するとB,C,Dのどれかを選択できるようになる。</t>
    <rPh sb="9" eb="11">
      <t>リシュウ</t>
    </rPh>
    <rPh sb="24" eb="26">
      <t>センタク</t>
    </rPh>
    <phoneticPr fontId="1"/>
  </si>
  <si>
    <t>KISO学科</t>
    <rPh sb="4" eb="6">
      <t>ガッカ</t>
    </rPh>
    <phoneticPr fontId="1"/>
  </si>
  <si>
    <t>精神洗浄効率強化</t>
    <rPh sb="0" eb="2">
      <t>セイシン</t>
    </rPh>
    <rPh sb="2" eb="4">
      <t>センジョウ</t>
    </rPh>
    <rPh sb="4" eb="6">
      <t>コウリツ</t>
    </rPh>
    <rPh sb="6" eb="8">
      <t>キョウカ</t>
    </rPh>
    <phoneticPr fontId="1"/>
  </si>
  <si>
    <t>呼吸法訓練</t>
    <rPh sb="0" eb="3">
      <t>コキュウホウ</t>
    </rPh>
    <rPh sb="3" eb="5">
      <t>クンレン</t>
    </rPh>
    <phoneticPr fontId="1"/>
  </si>
  <si>
    <t>精神潜在力強化</t>
    <rPh sb="0" eb="2">
      <t>セイシン</t>
    </rPh>
    <rPh sb="2" eb="5">
      <t>センザイリョク</t>
    </rPh>
    <rPh sb="5" eb="7">
      <t>キョウカ</t>
    </rPh>
    <phoneticPr fontId="1"/>
  </si>
  <si>
    <t>基礎精神力強化</t>
    <rPh sb="0" eb="2">
      <t>キソ</t>
    </rPh>
    <rPh sb="2" eb="5">
      <t>セイシンリョク</t>
    </rPh>
    <rPh sb="5" eb="7">
      <t>キョウカ</t>
    </rPh>
    <phoneticPr fontId="1"/>
  </si>
  <si>
    <t>治癒力強化</t>
    <rPh sb="0" eb="3">
      <t>チユリョク</t>
    </rPh>
    <rPh sb="3" eb="5">
      <t>キョウカ</t>
    </rPh>
    <phoneticPr fontId="1"/>
  </si>
  <si>
    <t>生命潜在力強化</t>
    <rPh sb="0" eb="2">
      <t>セイメイ</t>
    </rPh>
    <rPh sb="2" eb="4">
      <t>センザイ</t>
    </rPh>
    <rPh sb="4" eb="5">
      <t>チカラ</t>
    </rPh>
    <rPh sb="5" eb="7">
      <t>キョウカ</t>
    </rPh>
    <phoneticPr fontId="1"/>
  </si>
  <si>
    <t>基礎生命力強化</t>
    <rPh sb="0" eb="2">
      <t>キソ</t>
    </rPh>
    <rPh sb="2" eb="4">
      <t>セイメイ</t>
    </rPh>
    <rPh sb="4" eb="5">
      <t>チカラ</t>
    </rPh>
    <rPh sb="5" eb="7">
      <t>キョウカ</t>
    </rPh>
    <phoneticPr fontId="1"/>
  </si>
  <si>
    <t>栄養回収率強化</t>
    <rPh sb="0" eb="2">
      <t>エイヨウ</t>
    </rPh>
    <rPh sb="2" eb="4">
      <t>カイシュウ</t>
    </rPh>
    <rPh sb="4" eb="5">
      <t>リツ</t>
    </rPh>
    <rPh sb="5" eb="7">
      <t>キョウカ</t>
    </rPh>
    <phoneticPr fontId="1"/>
  </si>
  <si>
    <t>基礎抵抗力強化</t>
    <rPh sb="0" eb="2">
      <t>キソ</t>
    </rPh>
    <rPh sb="2" eb="5">
      <t>テイコウリョク</t>
    </rPh>
    <rPh sb="5" eb="7">
      <t>キョウカ</t>
    </rPh>
    <phoneticPr fontId="1"/>
  </si>
  <si>
    <t>各属性防御力、デバフ抵抗率が3下がる(ダメージ、効果が3%減少する)</t>
    <rPh sb="0" eb="3">
      <t>カクゾクセイ</t>
    </rPh>
    <rPh sb="3" eb="6">
      <t>ボウギョリョク</t>
    </rPh>
    <rPh sb="10" eb="13">
      <t>テイコウリツ</t>
    </rPh>
    <rPh sb="15" eb="16">
      <t>サ</t>
    </rPh>
    <rPh sb="24" eb="26">
      <t>コウカ</t>
    </rPh>
    <rPh sb="29" eb="31">
      <t>ゲンショウ</t>
    </rPh>
    <phoneticPr fontId="1"/>
  </si>
  <si>
    <t>B,C,Dは5種類完了するともう一度5種を履修できるようになる。全部で5段階まで行える。</t>
    <rPh sb="7" eb="9">
      <t>シュルイ</t>
    </rPh>
    <rPh sb="9" eb="11">
      <t>カンリョウ</t>
    </rPh>
    <rPh sb="16" eb="18">
      <t>イチド</t>
    </rPh>
    <rPh sb="19" eb="20">
      <t>シュ</t>
    </rPh>
    <rPh sb="21" eb="23">
      <t>リシュウ</t>
    </rPh>
    <rPh sb="32" eb="34">
      <t>ゼンブ</t>
    </rPh>
    <rPh sb="36" eb="38">
      <t>ダンカイ</t>
    </rPh>
    <rPh sb="40" eb="41">
      <t>オコナ</t>
    </rPh>
    <phoneticPr fontId="1"/>
  </si>
  <si>
    <t>MP回復時のSP減少を緩和する　MP1→HP33</t>
    <rPh sb="2" eb="4">
      <t>カイフク</t>
    </rPh>
    <rPh sb="4" eb="5">
      <t>トキ</t>
    </rPh>
    <rPh sb="8" eb="10">
      <t>ゲンショウ</t>
    </rPh>
    <rPh sb="11" eb="13">
      <t>カンワ</t>
    </rPh>
    <phoneticPr fontId="1"/>
  </si>
  <si>
    <t>キャラクターレベル1ごとに回避率が0.5%上がるようになる</t>
    <rPh sb="13" eb="16">
      <t>カイヒリツ</t>
    </rPh>
    <rPh sb="21" eb="22">
      <t>ア</t>
    </rPh>
    <phoneticPr fontId="1"/>
  </si>
  <si>
    <t>HP回復時のMP減少を10%緩和する</t>
    <rPh sb="2" eb="4">
      <t>カイフク</t>
    </rPh>
    <rPh sb="4" eb="5">
      <t>トキ</t>
    </rPh>
    <rPh sb="8" eb="10">
      <t>ゲンショウ</t>
    </rPh>
    <rPh sb="14" eb="16">
      <t>カンワ</t>
    </rPh>
    <phoneticPr fontId="1"/>
  </si>
  <si>
    <t>食料消耗を10%減らす(1人編成時の値、メンバー割で減少率が減っていく。)</t>
    <rPh sb="0" eb="2">
      <t>ショクリョウ</t>
    </rPh>
    <rPh sb="2" eb="4">
      <t>ショウモウ</t>
    </rPh>
    <rPh sb="8" eb="9">
      <t>ヘ</t>
    </rPh>
    <rPh sb="13" eb="14">
      <t>ニン</t>
    </rPh>
    <rPh sb="14" eb="17">
      <t>ヘンセイジ</t>
    </rPh>
    <rPh sb="18" eb="19">
      <t>アタイ</t>
    </rPh>
    <rPh sb="24" eb="25">
      <t>ワリ</t>
    </rPh>
    <rPh sb="26" eb="29">
      <t>ゲンショウリツ</t>
    </rPh>
    <rPh sb="30" eb="31">
      <t>ヘ</t>
    </rPh>
    <phoneticPr fontId="1"/>
  </si>
  <si>
    <t>費用は(訓練回数+1)*50</t>
    <rPh sb="0" eb="2">
      <t>ヒヨウ</t>
    </rPh>
    <rPh sb="4" eb="8">
      <t>クンレンカイスウ</t>
    </rPh>
    <phoneticPr fontId="1"/>
  </si>
  <si>
    <t>初心者はまずA学科の全履修を求められる。</t>
    <rPh sb="0" eb="3">
      <t>ショシンシャ</t>
    </rPh>
    <rPh sb="7" eb="9">
      <t>ガッカ</t>
    </rPh>
    <rPh sb="10" eb="13">
      <t>ゼンリシュウ</t>
    </rPh>
    <rPh sb="14" eb="15">
      <t>モト</t>
    </rPh>
    <phoneticPr fontId="1"/>
  </si>
  <si>
    <t>1回訓練するとその学科のうちどれかの科目をランダムで履修する。同じものを履修することはない。</t>
    <rPh sb="1" eb="2">
      <t>カイ</t>
    </rPh>
    <rPh sb="2" eb="4">
      <t>クンレン</t>
    </rPh>
    <rPh sb="9" eb="11">
      <t>ガッカ</t>
    </rPh>
    <rPh sb="18" eb="20">
      <t>カモク</t>
    </rPh>
    <rPh sb="26" eb="28">
      <t>リシュウ</t>
    </rPh>
    <rPh sb="31" eb="32">
      <t>オナ</t>
    </rPh>
    <rPh sb="36" eb="38">
      <t>リシュウ</t>
    </rPh>
    <phoneticPr fontId="1"/>
  </si>
  <si>
    <t>魔法少女毎に訓練回数が記録される。</t>
    <rPh sb="0" eb="4">
      <t>マホウショウジョ</t>
    </rPh>
    <rPh sb="4" eb="5">
      <t>ゴト</t>
    </rPh>
    <rPh sb="6" eb="8">
      <t>クンレン</t>
    </rPh>
    <rPh sb="8" eb="10">
      <t>カイスウ</t>
    </rPh>
    <rPh sb="11" eb="13">
      <t>キロク</t>
    </rPh>
    <phoneticPr fontId="1"/>
  </si>
  <si>
    <t>戦闘中のMP減少を緩和する(10%減少)</t>
    <rPh sb="0" eb="3">
      <t>セントウチュウ</t>
    </rPh>
    <rPh sb="6" eb="8">
      <t>ゲンショウ</t>
    </rPh>
    <rPh sb="9" eb="11">
      <t>カンワ</t>
    </rPh>
    <rPh sb="17" eb="19">
      <t>ゲンショウ</t>
    </rPh>
    <phoneticPr fontId="1"/>
  </si>
  <si>
    <t>戦闘中のMP減少を緩和する(10%減少)</t>
    <rPh sb="0" eb="3">
      <t>セントウチュウ</t>
    </rPh>
    <rPh sb="6" eb="8">
      <t>ゲンショウ</t>
    </rPh>
    <rPh sb="9" eb="11">
      <t>カンワ</t>
    </rPh>
    <phoneticPr fontId="1"/>
  </si>
  <si>
    <t>F</t>
    <phoneticPr fontId="1"/>
  </si>
  <si>
    <t>基本的な配置は前衛</t>
    <rPh sb="0" eb="3">
      <t>キホンテキ</t>
    </rPh>
    <rPh sb="4" eb="6">
      <t>ハイチ</t>
    </rPh>
    <rPh sb="7" eb="9">
      <t>ゼンエイ</t>
    </rPh>
    <phoneticPr fontId="1"/>
  </si>
  <si>
    <t>基本的な配置は後衛</t>
    <rPh sb="0" eb="3">
      <t>キホンテキ</t>
    </rPh>
    <rPh sb="4" eb="6">
      <t>ハイチ</t>
    </rPh>
    <rPh sb="7" eb="8">
      <t>ウシ</t>
    </rPh>
    <phoneticPr fontId="1"/>
  </si>
  <si>
    <t>M</t>
    <phoneticPr fontId="1"/>
  </si>
  <si>
    <t>前後位置は隊列設定で決められた位置に従う。</t>
    <rPh sb="0" eb="2">
      <t>ゼンゴ</t>
    </rPh>
    <rPh sb="2" eb="4">
      <t>イチ</t>
    </rPh>
    <rPh sb="5" eb="7">
      <t>タイレツ</t>
    </rPh>
    <rPh sb="7" eb="9">
      <t>セッテイ</t>
    </rPh>
    <rPh sb="10" eb="11">
      <t>キ</t>
    </rPh>
    <rPh sb="15" eb="17">
      <t>イチ</t>
    </rPh>
    <rPh sb="18" eb="19">
      <t>シタガ</t>
    </rPh>
    <phoneticPr fontId="1"/>
  </si>
  <si>
    <t>F,M,B</t>
    <phoneticPr fontId="1"/>
  </si>
  <si>
    <t>誰も前衛にいないと前衛に出る</t>
  </si>
  <si>
    <t>他のメンバーが1秒以内にレーン移動していたら移動しない</t>
    <phoneticPr fontId="1"/>
  </si>
  <si>
    <t>他にメンバーがいて、全メンバーの中で最もHPが低くなると後列に下がる。</t>
    <rPh sb="0" eb="1">
      <t>ホカ</t>
    </rPh>
    <phoneticPr fontId="1"/>
  </si>
  <si>
    <t>F,B,M</t>
    <phoneticPr fontId="1"/>
  </si>
  <si>
    <t>前衛にいるとき自分の正面に自分の属性の防御力の高い(属性値100未満)キャラクターが来たらレーンを移動する。</t>
    <rPh sb="0" eb="2">
      <t>ゼンエイ</t>
    </rPh>
    <phoneticPr fontId="1"/>
  </si>
  <si>
    <t>F,M</t>
    <phoneticPr fontId="1"/>
  </si>
  <si>
    <t>前列にいるとき敵の前列にいるキャラクターが自分の属性の防御力の高い(属性値100未満)キャラクターでなければその正面に移動する。</t>
    <rPh sb="0" eb="2">
      <t>ゼンレツ</t>
    </rPh>
    <phoneticPr fontId="1"/>
  </si>
  <si>
    <t>ランダムで左右どちらかのレーンを確認し、誰もいないとそちらに移動する。</t>
  </si>
  <si>
    <t>M,B</t>
    <phoneticPr fontId="1"/>
  </si>
  <si>
    <t>前衛にいるとき、目の前に誰かがいたら左右どちらかのレーンへ移動する。</t>
  </si>
  <si>
    <t>後列から動かない。右端か左端近いほうにレーン移動しようとする。</t>
  </si>
  <si>
    <t>回復型</t>
    <rPh sb="0" eb="3">
      <t>カイフクガタ</t>
    </rPh>
    <phoneticPr fontId="1"/>
  </si>
  <si>
    <t>味方の2人以上がHPの5%以上を失っていれば撃つ</t>
  </si>
  <si>
    <t>基本</t>
    <rPh sb="0" eb="2">
      <t>キホン</t>
    </rPh>
    <phoneticPr fontId="1"/>
  </si>
  <si>
    <t>※雑魚戦</t>
  </si>
  <si>
    <t>雑魚敵が画面に20匹以上、敵の残り数がまだ半分より多ければ必殺技を撃つ</t>
  </si>
  <si>
    <t>※魔女戦</t>
  </si>
  <si>
    <t>ゲージがたまれば撃つ</t>
  </si>
  <si>
    <t>6秒以内に他のメンバーが必殺技を撃っていたら撃たない。</t>
  </si>
  <si>
    <t>必殺技を撃つときは1/2で前衛中央に向かって移動して撃とうとする。1/2で移動せずそのまま撃つ。</t>
  </si>
  <si>
    <t>必殺技を撃つときは1/2で後衛中央に向かって移動して撃とうとする。1/2で移動せずそのまま撃つ。</t>
    <rPh sb="13" eb="15">
      <t>コウエイ</t>
    </rPh>
    <phoneticPr fontId="1"/>
  </si>
  <si>
    <t>回復、補助</t>
    <rPh sb="0" eb="2">
      <t>カイフク</t>
    </rPh>
    <rPh sb="3" eb="5">
      <t>ホジョ</t>
    </rPh>
    <phoneticPr fontId="1"/>
  </si>
  <si>
    <t>必殺技を撃つときに発動場所にこだわらず、どこでも撃つ</t>
    <rPh sb="9" eb="13">
      <t>ハツドウバショ</t>
    </rPh>
    <rPh sb="24" eb="25">
      <t>ウ</t>
    </rPh>
    <phoneticPr fontId="1"/>
  </si>
  <si>
    <t>25秒-WLV</t>
    <rPh sb="2" eb="3">
      <t>ビョウ</t>
    </rPh>
    <phoneticPr fontId="1"/>
  </si>
  <si>
    <t>5秒に一回、自身ともう一人、最もHPの少ないメンバーの生命力を回復する</t>
    <rPh sb="1" eb="2">
      <t>ビョウ</t>
    </rPh>
    <rPh sb="3" eb="5">
      <t>イッカイ</t>
    </rPh>
    <rPh sb="6" eb="8">
      <t>ジシン</t>
    </rPh>
    <rPh sb="11" eb="13">
      <t>ヒトリ</t>
    </rPh>
    <rPh sb="14" eb="15">
      <t>モット</t>
    </rPh>
    <rPh sb="19" eb="20">
      <t>スク</t>
    </rPh>
    <rPh sb="27" eb="30">
      <t>セイメイリョク</t>
    </rPh>
    <rPh sb="31" eb="33">
      <t>カイフク</t>
    </rPh>
    <phoneticPr fontId="1"/>
  </si>
  <si>
    <t>自身の生命力が90%以上あるときは、自身を含めもっとも生命力の少ないメンバー2人の生命力を回復する</t>
    <rPh sb="0" eb="2">
      <t>ジシン</t>
    </rPh>
    <rPh sb="3" eb="6">
      <t>セイメイリョク</t>
    </rPh>
    <rPh sb="10" eb="12">
      <t>イジョウ</t>
    </rPh>
    <rPh sb="18" eb="20">
      <t>ジシン</t>
    </rPh>
    <rPh sb="21" eb="22">
      <t>フク</t>
    </rPh>
    <rPh sb="39" eb="40">
      <t>ニン</t>
    </rPh>
    <phoneticPr fontId="1"/>
  </si>
  <si>
    <t>消費精神力：回復させた人数*0.3％</t>
    <rPh sb="0" eb="2">
      <t>ショウヒ</t>
    </rPh>
    <rPh sb="2" eb="5">
      <t>セイシンリョク</t>
    </rPh>
    <rPh sb="6" eb="8">
      <t>カイフク</t>
    </rPh>
    <rPh sb="11" eb="13">
      <t>ニンズウ</t>
    </rPh>
    <phoneticPr fontId="1"/>
  </si>
  <si>
    <t>回復量：李乃果のHPの(WL/2+10)％</t>
    <rPh sb="0" eb="3">
      <t>カイフクリョウ</t>
    </rPh>
    <rPh sb="4" eb="7">
      <t>リノカ</t>
    </rPh>
    <phoneticPr fontId="1"/>
  </si>
  <si>
    <t>5秒に一回、もっとも生命力の少ないメンバー2人の生命力を回復する</t>
    <rPh sb="1" eb="2">
      <t>ビョウ</t>
    </rPh>
    <rPh sb="3" eb="5">
      <t>イッカイ</t>
    </rPh>
    <rPh sb="10" eb="13">
      <t>セイメイリョク</t>
    </rPh>
    <rPh sb="14" eb="15">
      <t>スク</t>
    </rPh>
    <rPh sb="22" eb="23">
      <t>ニン</t>
    </rPh>
    <rPh sb="24" eb="27">
      <t>セイメイリョク</t>
    </rPh>
    <rPh sb="28" eb="30">
      <t>カイフク</t>
    </rPh>
    <phoneticPr fontId="1"/>
  </si>
  <si>
    <t>消費精神力：最大精神力の10%</t>
    <rPh sb="0" eb="2">
      <t>ショウヒ</t>
    </rPh>
    <rPh sb="2" eb="5">
      <t>セイシンリョク</t>
    </rPh>
    <rPh sb="6" eb="8">
      <t>サイダイ</t>
    </rPh>
    <rPh sb="8" eb="11">
      <t>セイシンリョク</t>
    </rPh>
    <phoneticPr fontId="1"/>
  </si>
  <si>
    <t>李乃果のHPの(WL*2+150)％  をメンバーの数で割った分、メンバー全員の生命力を回復する。</t>
    <rPh sb="26" eb="27">
      <t>カズ</t>
    </rPh>
    <rPh sb="28" eb="29">
      <t>ワ</t>
    </rPh>
    <rPh sb="31" eb="32">
      <t>ブン</t>
    </rPh>
    <rPh sb="37" eb="39">
      <t>ゼンイン</t>
    </rPh>
    <rPh sb="40" eb="43">
      <t>セイメイリョク</t>
    </rPh>
    <rPh sb="44" eb="46">
      <t>カイフク</t>
    </rPh>
    <phoneticPr fontId="1"/>
  </si>
  <si>
    <t>10秒に一回、自身の生命力を回復する</t>
    <rPh sb="2" eb="3">
      <t>ビョウ</t>
    </rPh>
    <rPh sb="4" eb="6">
      <t>イッカイ</t>
    </rPh>
    <rPh sb="7" eb="9">
      <t>ジシン</t>
    </rPh>
    <rPh sb="10" eb="13">
      <t>セイメイリョク</t>
    </rPh>
    <rPh sb="14" eb="16">
      <t>カイフク</t>
    </rPh>
    <phoneticPr fontId="1"/>
  </si>
  <si>
    <t>消費精神力：0.4％</t>
    <rPh sb="0" eb="2">
      <t>ショウヒ</t>
    </rPh>
    <rPh sb="2" eb="5">
      <t>セイシンリョク</t>
    </rPh>
    <phoneticPr fontId="1"/>
  </si>
  <si>
    <t>回復量：蒼樹のHPの(WL/3+6)％</t>
    <rPh sb="0" eb="3">
      <t>カイフクリョウ</t>
    </rPh>
    <rPh sb="4" eb="6">
      <t>アオキ</t>
    </rPh>
    <phoneticPr fontId="1"/>
  </si>
  <si>
    <t>自身の生命力が90%以上あるときは、自身を含めもっとも生命力の少ないメンバーの生命力を回復する</t>
    <rPh sb="0" eb="2">
      <t>ジシン</t>
    </rPh>
    <rPh sb="3" eb="6">
      <t>セイメイリョク</t>
    </rPh>
    <rPh sb="10" eb="12">
      <t>イジョウ</t>
    </rPh>
    <rPh sb="18" eb="20">
      <t>ジシン</t>
    </rPh>
    <rPh sb="21" eb="22">
      <t>フク</t>
    </rPh>
    <phoneticPr fontId="1"/>
  </si>
  <si>
    <t>消費精神力：回復させた人数*0.4％</t>
    <rPh sb="0" eb="2">
      <t>ショウヒ</t>
    </rPh>
    <rPh sb="2" eb="5">
      <t>セイシンリョク</t>
    </rPh>
    <rPh sb="6" eb="8">
      <t>カイフク</t>
    </rPh>
    <rPh sb="11" eb="13">
      <t>ニンズウ</t>
    </rPh>
    <phoneticPr fontId="1"/>
  </si>
  <si>
    <t>回復量：リフィエルのHPの(WL/2+14)％</t>
    <rPh sb="0" eb="3">
      <t>カイフクリョウ</t>
    </rPh>
    <phoneticPr fontId="1"/>
  </si>
  <si>
    <t>最大MPの10%</t>
    <rPh sb="0" eb="2">
      <t>サイダイ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</si>
</sst>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游ゴシック"/>
      <family val="2"/>
      <charset val="128"/>
      <scheme val="minor"/>
    </font>
    <font>
      <sz val="6"/>
      <name val="游ゴシック"/>
      <family val="2"/>
      <charset val="128"/>
      <scheme val="minor"/>
    </font>
    <font>
      <sz val="11"/>
      <name val="Arial"/>
      <family val="2"/>
    </font>
    <font>
      <sz val="11"/>
      <name val="ＭＳ Ｐゴシック"/>
      <family val="2"/>
      <charset val="128"/>
    </font>
    <font>
      <sz val="14"/>
      <color theme="1"/>
      <name val="MS UI Gothic"/>
      <family val="3"/>
      <charset val="128"/>
    </font>
    <font>
      <sz val="11"/>
      <name val="游ゴシック"/>
      <family val="3"/>
      <charset val="128"/>
      <scheme val="minor"/>
    </font>
    <font>
      <sz val="11"/>
      <color rgb="FFFF0000"/>
      <name val="游ゴシック"/>
      <family val="3"/>
      <charset val="128"/>
      <scheme val="minor"/>
    </font>
    <font>
      <sz val="11"/>
      <name val="ＭＳ ゴシック"/>
      <family val="3"/>
      <charset val="128"/>
    </font>
    <font>
      <sz val="11"/>
      <name val="Arial"/>
      <family val="3"/>
      <charset val="128"/>
    </font>
    <font>
      <sz val="11"/>
      <name val="Segoe UI"/>
      <family val="2"/>
    </font>
  </fonts>
  <fills count="2">
    <fill>
      <patternFill patternType="none"/>
    </fill>
    <fill>
      <patternFill patternType="gray125"/>
    </fill>
  </fills>
  <borders count="1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7">
    <xf numFmtId="0" fontId="0" fillId="0" borderId="0" xfId="0">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8" fillId="0" borderId="0" xfId="0" applyFont="1">
      <alignment vertical="center"/>
    </xf>
    <xf numFmtId="0" fontId="9"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D88E9-94CD-49D3-A71A-3DD1767249D5}">
  <dimension ref="A1:C127"/>
  <sheetViews>
    <sheetView workbookViewId="0">
      <selection activeCell="F129" sqref="F129"/>
    </sheetView>
  </sheetViews>
  <sheetFormatPr defaultRowHeight="18.75" x14ac:dyDescent="0.4"/>
  <sheetData>
    <row r="1" spans="1:2" x14ac:dyDescent="0.4">
      <c r="A1" t="s">
        <v>213</v>
      </c>
    </row>
    <row r="2" spans="1:2" x14ac:dyDescent="0.4">
      <c r="A2">
        <v>1</v>
      </c>
      <c r="B2" t="s">
        <v>214</v>
      </c>
    </row>
    <row r="3" spans="1:2" x14ac:dyDescent="0.4">
      <c r="A3">
        <v>2</v>
      </c>
      <c r="B3">
        <v>250</v>
      </c>
    </row>
    <row r="4" spans="1:2" x14ac:dyDescent="0.4">
      <c r="A4">
        <v>3</v>
      </c>
      <c r="B4">
        <v>500</v>
      </c>
    </row>
    <row r="5" spans="1:2" x14ac:dyDescent="0.4">
      <c r="A5">
        <v>4</v>
      </c>
      <c r="B5">
        <v>1000</v>
      </c>
    </row>
    <row r="6" spans="1:2" x14ac:dyDescent="0.4">
      <c r="A6">
        <v>5</v>
      </c>
      <c r="B6">
        <v>2000</v>
      </c>
    </row>
    <row r="7" spans="1:2" x14ac:dyDescent="0.4">
      <c r="A7">
        <v>6</v>
      </c>
      <c r="B7">
        <v>4000</v>
      </c>
    </row>
    <row r="8" spans="1:2" x14ac:dyDescent="0.4">
      <c r="A8">
        <v>7</v>
      </c>
      <c r="B8">
        <v>8000</v>
      </c>
    </row>
    <row r="9" spans="1:2" x14ac:dyDescent="0.4">
      <c r="A9">
        <v>8</v>
      </c>
      <c r="B9">
        <v>16000</v>
      </c>
    </row>
    <row r="10" spans="1:2" x14ac:dyDescent="0.4">
      <c r="A10">
        <v>9</v>
      </c>
      <c r="B10">
        <v>32000</v>
      </c>
    </row>
    <row r="11" spans="1:2" x14ac:dyDescent="0.4">
      <c r="A11">
        <v>10</v>
      </c>
      <c r="B11">
        <v>64000</v>
      </c>
    </row>
    <row r="12" spans="1:2" x14ac:dyDescent="0.4">
      <c r="A12">
        <v>11</v>
      </c>
      <c r="B12">
        <v>128000</v>
      </c>
    </row>
    <row r="13" spans="1:2" x14ac:dyDescent="0.4">
      <c r="A13">
        <v>12</v>
      </c>
      <c r="B13">
        <v>256000</v>
      </c>
    </row>
    <row r="14" spans="1:2" x14ac:dyDescent="0.4">
      <c r="A14">
        <v>13</v>
      </c>
      <c r="B14">
        <v>500000</v>
      </c>
    </row>
    <row r="15" spans="1:2" x14ac:dyDescent="0.4">
      <c r="A15" t="s">
        <v>215</v>
      </c>
      <c r="B15">
        <v>500000</v>
      </c>
    </row>
    <row r="16" spans="1:2" x14ac:dyDescent="0.4">
      <c r="A16" t="s">
        <v>216</v>
      </c>
    </row>
    <row r="17" spans="1:1" x14ac:dyDescent="0.4">
      <c r="A17" t="s">
        <v>217</v>
      </c>
    </row>
    <row r="18" spans="1:1" x14ac:dyDescent="0.4">
      <c r="A18" t="s">
        <v>218</v>
      </c>
    </row>
    <row r="19" spans="1:1" x14ac:dyDescent="0.4">
      <c r="A19" t="s">
        <v>247</v>
      </c>
    </row>
    <row r="21" spans="1:1" x14ac:dyDescent="0.4">
      <c r="A21" t="s">
        <v>219</v>
      </c>
    </row>
    <row r="22" spans="1:1" x14ac:dyDescent="0.4">
      <c r="A22" t="s">
        <v>220</v>
      </c>
    </row>
    <row r="23" spans="1:1" x14ac:dyDescent="0.4">
      <c r="A23" t="s">
        <v>209</v>
      </c>
    </row>
    <row r="24" spans="1:1" x14ac:dyDescent="0.4">
      <c r="A24" t="s">
        <v>210</v>
      </c>
    </row>
    <row r="25" spans="1:1" x14ac:dyDescent="0.4">
      <c r="A25" t="s">
        <v>211</v>
      </c>
    </row>
    <row r="26" spans="1:1" x14ac:dyDescent="0.4">
      <c r="A26" t="s">
        <v>212</v>
      </c>
    </row>
    <row r="27" spans="1:1" x14ac:dyDescent="0.4">
      <c r="A27" t="s">
        <v>221</v>
      </c>
    </row>
    <row r="28" spans="1:1" x14ac:dyDescent="0.4">
      <c r="A28" t="s">
        <v>222</v>
      </c>
    </row>
    <row r="29" spans="1:1" x14ac:dyDescent="0.4">
      <c r="A29" t="s">
        <v>223</v>
      </c>
    </row>
    <row r="30" spans="1:1" x14ac:dyDescent="0.4">
      <c r="A30" t="s">
        <v>224</v>
      </c>
    </row>
    <row r="31" spans="1:1" x14ac:dyDescent="0.4">
      <c r="A31" t="s">
        <v>225</v>
      </c>
    </row>
    <row r="32" spans="1:1" x14ac:dyDescent="0.4">
      <c r="A32" t="s">
        <v>226</v>
      </c>
    </row>
    <row r="33" spans="1:2" x14ac:dyDescent="0.4">
      <c r="A33" t="s">
        <v>227</v>
      </c>
    </row>
    <row r="35" spans="1:2" x14ac:dyDescent="0.4">
      <c r="A35" t="s">
        <v>228</v>
      </c>
      <c r="B35" t="s">
        <v>229</v>
      </c>
    </row>
    <row r="36" spans="1:2" x14ac:dyDescent="0.4">
      <c r="A36">
        <v>0</v>
      </c>
      <c r="B36">
        <v>100</v>
      </c>
    </row>
    <row r="37" spans="1:2" x14ac:dyDescent="0.4">
      <c r="A37">
        <v>1</v>
      </c>
      <c r="B37">
        <v>200</v>
      </c>
    </row>
    <row r="38" spans="1:2" x14ac:dyDescent="0.4">
      <c r="A38">
        <v>2</v>
      </c>
      <c r="B38">
        <v>300</v>
      </c>
    </row>
    <row r="39" spans="1:2" x14ac:dyDescent="0.4">
      <c r="A39">
        <v>3</v>
      </c>
      <c r="B39">
        <v>400</v>
      </c>
    </row>
    <row r="40" spans="1:2" x14ac:dyDescent="0.4">
      <c r="A40">
        <v>4</v>
      </c>
      <c r="B40">
        <v>500</v>
      </c>
    </row>
    <row r="41" spans="1:2" x14ac:dyDescent="0.4">
      <c r="A41">
        <v>5</v>
      </c>
      <c r="B41">
        <v>600</v>
      </c>
    </row>
    <row r="42" spans="1:2" x14ac:dyDescent="0.4">
      <c r="A42">
        <v>6</v>
      </c>
      <c r="B42">
        <v>700</v>
      </c>
    </row>
    <row r="43" spans="1:2" x14ac:dyDescent="0.4">
      <c r="A43">
        <v>7</v>
      </c>
      <c r="B43">
        <v>800</v>
      </c>
    </row>
    <row r="44" spans="1:2" x14ac:dyDescent="0.4">
      <c r="A44">
        <v>8</v>
      </c>
      <c r="B44">
        <v>900</v>
      </c>
    </row>
    <row r="45" spans="1:2" x14ac:dyDescent="0.4">
      <c r="A45">
        <v>9</v>
      </c>
      <c r="B45">
        <v>1000</v>
      </c>
    </row>
    <row r="46" spans="1:2" x14ac:dyDescent="0.4">
      <c r="A46">
        <v>10</v>
      </c>
      <c r="B46">
        <v>1100</v>
      </c>
    </row>
    <row r="47" spans="1:2" x14ac:dyDescent="0.4">
      <c r="A47">
        <v>11</v>
      </c>
      <c r="B47">
        <v>1200</v>
      </c>
    </row>
    <row r="48" spans="1:2" x14ac:dyDescent="0.4">
      <c r="A48">
        <v>12</v>
      </c>
      <c r="B48">
        <v>1300</v>
      </c>
    </row>
    <row r="50" spans="1:3" x14ac:dyDescent="0.4">
      <c r="A50" t="s">
        <v>65</v>
      </c>
    </row>
    <row r="51" spans="1:3" x14ac:dyDescent="0.4">
      <c r="A51" t="s">
        <v>14</v>
      </c>
    </row>
    <row r="52" spans="1:3" x14ac:dyDescent="0.4">
      <c r="A52" t="s">
        <v>77</v>
      </c>
    </row>
    <row r="53" spans="1:3" x14ac:dyDescent="0.4">
      <c r="A53" t="s">
        <v>78</v>
      </c>
      <c r="B53" t="s">
        <v>79</v>
      </c>
    </row>
    <row r="54" spans="1:3" x14ac:dyDescent="0.4">
      <c r="A54" t="s">
        <v>80</v>
      </c>
      <c r="B54" t="s">
        <v>81</v>
      </c>
    </row>
    <row r="56" spans="1:3" x14ac:dyDescent="0.4">
      <c r="A56" t="s">
        <v>69</v>
      </c>
      <c r="C56" t="s">
        <v>72</v>
      </c>
    </row>
    <row r="57" spans="1:3" x14ac:dyDescent="0.4">
      <c r="A57" t="s">
        <v>70</v>
      </c>
      <c r="C57" t="s">
        <v>73</v>
      </c>
    </row>
    <row r="58" spans="1:3" x14ac:dyDescent="0.4">
      <c r="A58" t="s">
        <v>71</v>
      </c>
      <c r="C58" t="s">
        <v>74</v>
      </c>
    </row>
    <row r="60" spans="1:3" x14ac:dyDescent="0.4">
      <c r="A60" t="s">
        <v>75</v>
      </c>
    </row>
    <row r="61" spans="1:3" x14ac:dyDescent="0.4">
      <c r="A61" t="s">
        <v>76</v>
      </c>
    </row>
    <row r="63" spans="1:3" x14ac:dyDescent="0.4">
      <c r="A63" t="s">
        <v>80</v>
      </c>
    </row>
    <row r="64" spans="1:3" x14ac:dyDescent="0.4">
      <c r="A64" t="s">
        <v>231</v>
      </c>
    </row>
    <row r="65" spans="1:1" x14ac:dyDescent="0.4">
      <c r="A65" t="s">
        <v>78</v>
      </c>
    </row>
    <row r="66" spans="1:1" x14ac:dyDescent="0.4">
      <c r="A66" t="s">
        <v>230</v>
      </c>
    </row>
    <row r="67" spans="1:1" x14ac:dyDescent="0.4">
      <c r="A67" t="s">
        <v>245</v>
      </c>
    </row>
    <row r="69" spans="1:1" x14ac:dyDescent="0.4">
      <c r="A69" t="s">
        <v>237</v>
      </c>
    </row>
    <row r="70" spans="1:1" x14ac:dyDescent="0.4">
      <c r="A70" t="s">
        <v>246</v>
      </c>
    </row>
    <row r="72" spans="1:1" x14ac:dyDescent="0.4">
      <c r="A72" t="s">
        <v>232</v>
      </c>
    </row>
    <row r="73" spans="1:1" x14ac:dyDescent="0.4">
      <c r="A73" t="s">
        <v>234</v>
      </c>
    </row>
    <row r="74" spans="1:1" x14ac:dyDescent="0.4">
      <c r="A74" t="s">
        <v>233</v>
      </c>
    </row>
    <row r="75" spans="1:1" x14ac:dyDescent="0.4">
      <c r="A75" t="s">
        <v>235</v>
      </c>
    </row>
    <row r="76" spans="1:1" x14ac:dyDescent="0.4">
      <c r="A76" t="s">
        <v>236</v>
      </c>
    </row>
    <row r="78" spans="1:1" x14ac:dyDescent="0.4">
      <c r="A78" t="s">
        <v>238</v>
      </c>
    </row>
    <row r="79" spans="1:1" x14ac:dyDescent="0.4">
      <c r="A79" t="s">
        <v>240</v>
      </c>
    </row>
    <row r="80" spans="1:1" x14ac:dyDescent="0.4">
      <c r="A80" t="s">
        <v>239</v>
      </c>
    </row>
    <row r="81" spans="1:1" x14ac:dyDescent="0.4">
      <c r="A81" t="s">
        <v>241</v>
      </c>
    </row>
    <row r="82" spans="1:1" x14ac:dyDescent="0.4">
      <c r="A82" t="s">
        <v>242</v>
      </c>
    </row>
    <row r="83" spans="1:1" x14ac:dyDescent="0.4">
      <c r="A83" t="s">
        <v>243</v>
      </c>
    </row>
    <row r="84" spans="1:1" x14ac:dyDescent="0.4">
      <c r="A84" t="s">
        <v>244</v>
      </c>
    </row>
    <row r="86" spans="1:1" x14ac:dyDescent="0.4">
      <c r="A86" t="s">
        <v>250</v>
      </c>
    </row>
    <row r="87" spans="1:1" x14ac:dyDescent="0.4">
      <c r="A87" t="s">
        <v>251</v>
      </c>
    </row>
    <row r="88" spans="1:1" x14ac:dyDescent="0.4">
      <c r="A88" t="s">
        <v>252</v>
      </c>
    </row>
    <row r="89" spans="1:1" x14ac:dyDescent="0.4">
      <c r="A89" t="s">
        <v>253</v>
      </c>
    </row>
    <row r="90" spans="1:1" x14ac:dyDescent="0.4">
      <c r="A90" t="s">
        <v>254</v>
      </c>
    </row>
    <row r="92" spans="1:1" x14ac:dyDescent="0.4">
      <c r="A92" t="s">
        <v>255</v>
      </c>
    </row>
    <row r="94" spans="1:1" x14ac:dyDescent="0.4">
      <c r="A94" t="s">
        <v>264</v>
      </c>
    </row>
    <row r="95" spans="1:1" x14ac:dyDescent="0.4">
      <c r="A95" t="s">
        <v>256</v>
      </c>
    </row>
    <row r="96" spans="1:1" x14ac:dyDescent="0.4">
      <c r="A96" t="s">
        <v>257</v>
      </c>
    </row>
    <row r="97" spans="1:1" x14ac:dyDescent="0.4">
      <c r="A97" t="s">
        <v>258</v>
      </c>
    </row>
    <row r="98" spans="1:1" x14ac:dyDescent="0.4">
      <c r="A98" t="s">
        <v>259</v>
      </c>
    </row>
    <row r="99" spans="1:1" x14ac:dyDescent="0.4">
      <c r="A99" t="s">
        <v>260</v>
      </c>
    </row>
    <row r="100" spans="1:1" x14ac:dyDescent="0.4">
      <c r="A100" t="s">
        <v>261</v>
      </c>
    </row>
    <row r="101" spans="1:1" x14ac:dyDescent="0.4">
      <c r="A101" t="s">
        <v>262</v>
      </c>
    </row>
    <row r="102" spans="1:1" x14ac:dyDescent="0.4">
      <c r="A102" t="s">
        <v>263</v>
      </c>
    </row>
    <row r="104" spans="1:1" x14ac:dyDescent="0.4">
      <c r="A104" t="s">
        <v>265</v>
      </c>
    </row>
    <row r="105" spans="1:1" x14ac:dyDescent="0.4">
      <c r="A105" t="s">
        <v>271</v>
      </c>
    </row>
    <row r="106" spans="1:1" x14ac:dyDescent="0.4">
      <c r="A106" t="s">
        <v>272</v>
      </c>
    </row>
    <row r="107" spans="1:1" x14ac:dyDescent="0.4">
      <c r="A107" t="s">
        <v>273</v>
      </c>
    </row>
    <row r="109" spans="1:1" x14ac:dyDescent="0.4">
      <c r="A109" t="s">
        <v>266</v>
      </c>
    </row>
    <row r="110" spans="1:1" x14ac:dyDescent="0.4">
      <c r="A110" t="s">
        <v>267</v>
      </c>
    </row>
    <row r="111" spans="1:1" x14ac:dyDescent="0.4">
      <c r="A111" t="s">
        <v>270</v>
      </c>
    </row>
    <row r="112" spans="1:1" x14ac:dyDescent="0.4">
      <c r="A112" t="s">
        <v>268</v>
      </c>
    </row>
    <row r="113" spans="1:2" x14ac:dyDescent="0.4">
      <c r="A113" t="s">
        <v>269</v>
      </c>
    </row>
    <row r="115" spans="1:2" x14ac:dyDescent="0.4">
      <c r="A115" t="s">
        <v>319</v>
      </c>
    </row>
    <row r="116" spans="1:2" x14ac:dyDescent="0.4">
      <c r="A116" t="s">
        <v>316</v>
      </c>
      <c r="B116">
        <v>1</v>
      </c>
    </row>
    <row r="117" spans="1:2" x14ac:dyDescent="0.4">
      <c r="A117" t="s">
        <v>314</v>
      </c>
      <c r="B117">
        <v>5</v>
      </c>
    </row>
    <row r="118" spans="1:2" x14ac:dyDescent="0.4">
      <c r="A118" t="s">
        <v>315</v>
      </c>
      <c r="B118">
        <v>9</v>
      </c>
    </row>
    <row r="119" spans="1:2" x14ac:dyDescent="0.4">
      <c r="A119" t="s">
        <v>317</v>
      </c>
      <c r="B119">
        <v>13</v>
      </c>
    </row>
    <row r="120" spans="1:2" x14ac:dyDescent="0.4">
      <c r="A120" t="s">
        <v>318</v>
      </c>
      <c r="B120">
        <v>17</v>
      </c>
    </row>
    <row r="122" spans="1:2" x14ac:dyDescent="0.4">
      <c r="A122" t="s">
        <v>320</v>
      </c>
    </row>
    <row r="123" spans="1:2" x14ac:dyDescent="0.4">
      <c r="A123" t="s">
        <v>321</v>
      </c>
    </row>
    <row r="124" spans="1:2" x14ac:dyDescent="0.4">
      <c r="A124" t="s">
        <v>322</v>
      </c>
    </row>
    <row r="125" spans="1:2" x14ac:dyDescent="0.4">
      <c r="A125" t="s">
        <v>323</v>
      </c>
    </row>
    <row r="126" spans="1:2" x14ac:dyDescent="0.4">
      <c r="A126" t="s">
        <v>324</v>
      </c>
    </row>
    <row r="127" spans="1:2" x14ac:dyDescent="0.4">
      <c r="A127" t="s">
        <v>325</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B837D-4EBE-4F79-AFA5-7C29098E884F}">
  <dimension ref="A1:B77"/>
  <sheetViews>
    <sheetView topLeftCell="A11" workbookViewId="0">
      <selection activeCell="J54" sqref="J54"/>
    </sheetView>
  </sheetViews>
  <sheetFormatPr defaultRowHeight="18.75" x14ac:dyDescent="0.4"/>
  <cols>
    <col min="1" max="1" width="66.125" bestFit="1" customWidth="1"/>
  </cols>
  <sheetData>
    <row r="1" spans="1:2" x14ac:dyDescent="0.4">
      <c r="A1" t="s">
        <v>274</v>
      </c>
    </row>
    <row r="3" spans="1:2" x14ac:dyDescent="0.4">
      <c r="A3" t="s">
        <v>275</v>
      </c>
    </row>
    <row r="4" spans="1:2" x14ac:dyDescent="0.4">
      <c r="A4" t="s">
        <v>276</v>
      </c>
    </row>
    <row r="5" spans="1:2" x14ac:dyDescent="0.4">
      <c r="A5" t="s">
        <v>277</v>
      </c>
      <c r="B5" t="s">
        <v>278</v>
      </c>
    </row>
    <row r="6" spans="1:2" x14ac:dyDescent="0.4">
      <c r="A6" t="s">
        <v>108</v>
      </c>
    </row>
    <row r="7" spans="1:2" x14ac:dyDescent="0.4">
      <c r="A7" t="s">
        <v>279</v>
      </c>
    </row>
    <row r="8" spans="1:2" x14ac:dyDescent="0.4">
      <c r="A8" t="s">
        <v>280</v>
      </c>
    </row>
    <row r="9" spans="1:2" x14ac:dyDescent="0.4">
      <c r="A9" t="s">
        <v>281</v>
      </c>
    </row>
    <row r="10" spans="1:2" x14ac:dyDescent="0.4">
      <c r="A10" t="s">
        <v>282</v>
      </c>
    </row>
    <row r="11" spans="1:2" x14ac:dyDescent="0.4">
      <c r="A11" t="s">
        <v>283</v>
      </c>
    </row>
    <row r="12" spans="1:2" x14ac:dyDescent="0.4">
      <c r="A12" t="s">
        <v>108</v>
      </c>
    </row>
    <row r="13" spans="1:2" x14ac:dyDescent="0.4">
      <c r="A13" t="s">
        <v>284</v>
      </c>
    </row>
    <row r="14" spans="1:2" x14ac:dyDescent="0.4">
      <c r="A14" t="s">
        <v>108</v>
      </c>
      <c r="B14" t="s">
        <v>108</v>
      </c>
    </row>
    <row r="15" spans="1:2" x14ac:dyDescent="0.4">
      <c r="A15" t="s">
        <v>285</v>
      </c>
      <c r="B15" t="s">
        <v>286</v>
      </c>
    </row>
    <row r="16" spans="1:2" x14ac:dyDescent="0.4">
      <c r="A16" t="s">
        <v>287</v>
      </c>
      <c r="B16" t="s">
        <v>288</v>
      </c>
    </row>
    <row r="17" spans="1:2" x14ac:dyDescent="0.4">
      <c r="A17" t="s">
        <v>108</v>
      </c>
      <c r="B17" t="s">
        <v>289</v>
      </c>
    </row>
    <row r="18" spans="1:2" x14ac:dyDescent="0.4">
      <c r="A18" t="s">
        <v>290</v>
      </c>
      <c r="B18" t="s">
        <v>108</v>
      </c>
    </row>
    <row r="19" spans="1:2" x14ac:dyDescent="0.4">
      <c r="B19" t="s">
        <v>291</v>
      </c>
    </row>
    <row r="20" spans="1:2" x14ac:dyDescent="0.4">
      <c r="B20" t="s">
        <v>108</v>
      </c>
    </row>
    <row r="21" spans="1:2" x14ac:dyDescent="0.4">
      <c r="B21" t="s">
        <v>290</v>
      </c>
    </row>
    <row r="23" spans="1:2" x14ac:dyDescent="0.4">
      <c r="A23" t="s">
        <v>292</v>
      </c>
    </row>
    <row r="24" spans="1:2" x14ac:dyDescent="0.4">
      <c r="A24" t="s">
        <v>108</v>
      </c>
    </row>
    <row r="25" spans="1:2" x14ac:dyDescent="0.4">
      <c r="A25" t="s">
        <v>293</v>
      </c>
    </row>
    <row r="26" spans="1:2" x14ac:dyDescent="0.4">
      <c r="A26" t="s">
        <v>294</v>
      </c>
    </row>
    <row r="27" spans="1:2" x14ac:dyDescent="0.4">
      <c r="A27" t="s">
        <v>295</v>
      </c>
    </row>
    <row r="28" spans="1:2" x14ac:dyDescent="0.4">
      <c r="A28" t="s">
        <v>295</v>
      </c>
    </row>
    <row r="29" spans="1:2" x14ac:dyDescent="0.4">
      <c r="A29" t="s">
        <v>296</v>
      </c>
    </row>
    <row r="30" spans="1:2" x14ac:dyDescent="0.4">
      <c r="A30" t="s">
        <v>108</v>
      </c>
    </row>
    <row r="31" spans="1:2" x14ac:dyDescent="0.4">
      <c r="A31" t="s">
        <v>297</v>
      </c>
    </row>
    <row r="35" spans="1:1" x14ac:dyDescent="0.4">
      <c r="A35" t="s">
        <v>301</v>
      </c>
    </row>
    <row r="37" spans="1:1" x14ac:dyDescent="0.4">
      <c r="A37" t="s">
        <v>300</v>
      </c>
    </row>
    <row r="38" spans="1:1" x14ac:dyDescent="0.4">
      <c r="A38" t="s">
        <v>108</v>
      </c>
    </row>
    <row r="39" spans="1:1" x14ac:dyDescent="0.4">
      <c r="A39" t="s">
        <v>299</v>
      </c>
    </row>
    <row r="40" spans="1:1" x14ac:dyDescent="0.4">
      <c r="A40" t="s">
        <v>298</v>
      </c>
    </row>
    <row r="41" spans="1:1" x14ac:dyDescent="0.4">
      <c r="A41" t="s">
        <v>108</v>
      </c>
    </row>
    <row r="42" spans="1:1" x14ac:dyDescent="0.4">
      <c r="A42" t="s">
        <v>279</v>
      </c>
    </row>
    <row r="43" spans="1:1" x14ac:dyDescent="0.4">
      <c r="A43" t="s">
        <v>280</v>
      </c>
    </row>
    <row r="44" spans="1:1" x14ac:dyDescent="0.4">
      <c r="A44" t="s">
        <v>281</v>
      </c>
    </row>
    <row r="45" spans="1:1" x14ac:dyDescent="0.4">
      <c r="A45" t="s">
        <v>282</v>
      </c>
    </row>
    <row r="46" spans="1:1" x14ac:dyDescent="0.4">
      <c r="A46" t="s">
        <v>283</v>
      </c>
    </row>
    <row r="47" spans="1:1" x14ac:dyDescent="0.4">
      <c r="A47" t="s">
        <v>108</v>
      </c>
    </row>
    <row r="48" spans="1:1" x14ac:dyDescent="0.4">
      <c r="A48" t="s">
        <v>284</v>
      </c>
    </row>
    <row r="49" spans="1:2" x14ac:dyDescent="0.4">
      <c r="A49" t="s">
        <v>108</v>
      </c>
      <c r="B49" t="s">
        <v>108</v>
      </c>
    </row>
    <row r="50" spans="1:2" x14ac:dyDescent="0.4">
      <c r="A50" t="s">
        <v>285</v>
      </c>
      <c r="B50" t="s">
        <v>286</v>
      </c>
    </row>
    <row r="51" spans="1:2" x14ac:dyDescent="0.4">
      <c r="A51" t="s">
        <v>287</v>
      </c>
      <c r="B51" t="s">
        <v>288</v>
      </c>
    </row>
    <row r="52" spans="1:2" x14ac:dyDescent="0.4">
      <c r="A52" t="s">
        <v>108</v>
      </c>
      <c r="B52" t="s">
        <v>289</v>
      </c>
    </row>
    <row r="53" spans="1:2" x14ac:dyDescent="0.4">
      <c r="A53" t="s">
        <v>290</v>
      </c>
      <c r="B53" t="s">
        <v>108</v>
      </c>
    </row>
    <row r="54" spans="1:2" x14ac:dyDescent="0.4">
      <c r="B54" t="s">
        <v>291</v>
      </c>
    </row>
    <row r="55" spans="1:2" x14ac:dyDescent="0.4">
      <c r="B55" t="s">
        <v>108</v>
      </c>
    </row>
    <row r="56" spans="1:2" x14ac:dyDescent="0.4">
      <c r="B56" t="s">
        <v>290</v>
      </c>
    </row>
    <row r="59" spans="1:2" x14ac:dyDescent="0.4">
      <c r="A59" t="s">
        <v>313</v>
      </c>
    </row>
    <row r="61" spans="1:2" x14ac:dyDescent="0.4">
      <c r="A61" t="s">
        <v>312</v>
      </c>
    </row>
    <row r="62" spans="1:2" x14ac:dyDescent="0.4">
      <c r="A62" t="s">
        <v>311</v>
      </c>
    </row>
    <row r="63" spans="1:2" x14ac:dyDescent="0.4">
      <c r="A63" t="s">
        <v>310</v>
      </c>
    </row>
    <row r="64" spans="1:2" x14ac:dyDescent="0.4">
      <c r="A64" t="s">
        <v>309</v>
      </c>
    </row>
    <row r="65" spans="1:1" x14ac:dyDescent="0.4">
      <c r="A65" t="s">
        <v>308</v>
      </c>
    </row>
    <row r="67" spans="1:1" x14ac:dyDescent="0.4">
      <c r="A67" t="s">
        <v>307</v>
      </c>
    </row>
    <row r="69" spans="1:1" x14ac:dyDescent="0.4">
      <c r="A69" t="s">
        <v>306</v>
      </c>
    </row>
    <row r="71" spans="1:1" x14ac:dyDescent="0.4">
      <c r="A71" t="s">
        <v>305</v>
      </c>
    </row>
    <row r="73" spans="1:1" x14ac:dyDescent="0.4">
      <c r="A73" t="s">
        <v>304</v>
      </c>
    </row>
    <row r="75" spans="1:1" x14ac:dyDescent="0.4">
      <c r="A75" t="s">
        <v>303</v>
      </c>
    </row>
    <row r="77" spans="1:1" x14ac:dyDescent="0.4">
      <c r="A77" t="s">
        <v>302</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09E67-297D-476E-A8A4-A10E90F6AA94}">
  <dimension ref="A1:F27"/>
  <sheetViews>
    <sheetView workbookViewId="0">
      <selection activeCell="C8" sqref="C8"/>
    </sheetView>
  </sheetViews>
  <sheetFormatPr defaultRowHeight="18.75" x14ac:dyDescent="0.4"/>
  <cols>
    <col min="2" max="2" width="14.25" bestFit="1" customWidth="1"/>
    <col min="3" max="3" width="13.75" bestFit="1" customWidth="1"/>
    <col min="4" max="4" width="20.125" bestFit="1" customWidth="1"/>
    <col min="5" max="5" width="61.375" style="13" customWidth="1"/>
    <col min="6" max="6" width="9" style="13"/>
  </cols>
  <sheetData>
    <row r="1" spans="1:6" x14ac:dyDescent="0.4">
      <c r="A1" t="s">
        <v>372</v>
      </c>
      <c r="B1" s="12" t="s">
        <v>373</v>
      </c>
      <c r="C1" s="12"/>
      <c r="D1" s="12" t="s">
        <v>374</v>
      </c>
      <c r="E1" s="13" t="s">
        <v>375</v>
      </c>
      <c r="F1" s="13" t="s">
        <v>376</v>
      </c>
    </row>
    <row r="2" spans="1:6" x14ac:dyDescent="0.4">
      <c r="A2">
        <v>0</v>
      </c>
      <c r="B2" s="12" t="s">
        <v>350</v>
      </c>
      <c r="C2" s="12" t="s">
        <v>354</v>
      </c>
      <c r="D2" s="12" t="s">
        <v>377</v>
      </c>
      <c r="E2" s="13" t="s">
        <v>378</v>
      </c>
      <c r="F2" s="13" t="s">
        <v>379</v>
      </c>
    </row>
    <row r="3" spans="1:6" x14ac:dyDescent="0.4">
      <c r="A3">
        <v>1</v>
      </c>
      <c r="B3" s="12" t="s">
        <v>380</v>
      </c>
      <c r="C3" s="12" t="s">
        <v>381</v>
      </c>
      <c r="D3" s="12" t="s">
        <v>382</v>
      </c>
      <c r="E3" s="13" t="s">
        <v>383</v>
      </c>
      <c r="F3" s="13" t="s">
        <v>384</v>
      </c>
    </row>
    <row r="4" spans="1:6" x14ac:dyDescent="0.4">
      <c r="A4">
        <v>2</v>
      </c>
      <c r="B4" s="12" t="s">
        <v>385</v>
      </c>
      <c r="C4" s="12" t="s">
        <v>386</v>
      </c>
      <c r="D4" s="12" t="s">
        <v>382</v>
      </c>
      <c r="E4" s="13" t="s">
        <v>387</v>
      </c>
      <c r="F4" s="13" t="s">
        <v>388</v>
      </c>
    </row>
    <row r="5" spans="1:6" x14ac:dyDescent="0.4">
      <c r="A5">
        <v>3</v>
      </c>
      <c r="B5" s="12" t="s">
        <v>151</v>
      </c>
      <c r="C5" s="12" t="s">
        <v>389</v>
      </c>
      <c r="D5" s="12" t="s">
        <v>390</v>
      </c>
      <c r="E5" s="13" t="s">
        <v>391</v>
      </c>
      <c r="F5" s="13" t="s">
        <v>392</v>
      </c>
    </row>
    <row r="6" spans="1:6" x14ac:dyDescent="0.4">
      <c r="A6">
        <v>4</v>
      </c>
      <c r="B6" s="12" t="s">
        <v>393</v>
      </c>
      <c r="C6" s="12" t="s">
        <v>394</v>
      </c>
      <c r="D6" s="12" t="s">
        <v>382</v>
      </c>
      <c r="E6" s="13" t="s">
        <v>395</v>
      </c>
      <c r="F6" s="13" t="s">
        <v>396</v>
      </c>
    </row>
    <row r="7" spans="1:6" x14ac:dyDescent="0.4">
      <c r="A7">
        <v>5</v>
      </c>
      <c r="B7" s="12" t="s">
        <v>397</v>
      </c>
      <c r="C7" s="12" t="s">
        <v>501</v>
      </c>
      <c r="D7" s="12" t="s">
        <v>382</v>
      </c>
      <c r="E7" s="13" t="s">
        <v>398</v>
      </c>
      <c r="F7" s="13" t="s">
        <v>399</v>
      </c>
    </row>
    <row r="8" spans="1:6" x14ac:dyDescent="0.4">
      <c r="A8">
        <v>6</v>
      </c>
      <c r="B8" s="12" t="s">
        <v>400</v>
      </c>
      <c r="C8" s="12" t="s">
        <v>401</v>
      </c>
      <c r="D8" s="12" t="s">
        <v>402</v>
      </c>
      <c r="E8" s="13" t="s">
        <v>403</v>
      </c>
      <c r="F8" s="13" t="s">
        <v>404</v>
      </c>
    </row>
    <row r="9" spans="1:6" x14ac:dyDescent="0.4">
      <c r="A9">
        <v>7</v>
      </c>
      <c r="B9" s="12" t="s">
        <v>405</v>
      </c>
      <c r="C9" s="12" t="s">
        <v>406</v>
      </c>
      <c r="D9" s="12" t="s">
        <v>402</v>
      </c>
      <c r="E9" s="13" t="s">
        <v>407</v>
      </c>
      <c r="F9" s="13" t="s">
        <v>408</v>
      </c>
    </row>
    <row r="10" spans="1:6" x14ac:dyDescent="0.4">
      <c r="A10">
        <v>8</v>
      </c>
      <c r="B10" s="12" t="s">
        <v>138</v>
      </c>
      <c r="C10" s="12" t="s">
        <v>409</v>
      </c>
      <c r="D10" s="12" t="s">
        <v>390</v>
      </c>
      <c r="E10" s="13" t="s">
        <v>410</v>
      </c>
      <c r="F10" s="13" t="s">
        <v>411</v>
      </c>
    </row>
    <row r="11" spans="1:6" x14ac:dyDescent="0.4">
      <c r="A11">
        <v>9</v>
      </c>
      <c r="B11" s="12" t="s">
        <v>329</v>
      </c>
      <c r="C11" s="12" t="s">
        <v>326</v>
      </c>
      <c r="D11" s="12" t="s">
        <v>412</v>
      </c>
      <c r="E11" s="13" t="s">
        <v>413</v>
      </c>
      <c r="F11" s="13" t="s">
        <v>414</v>
      </c>
    </row>
    <row r="12" spans="1:6" x14ac:dyDescent="0.4">
      <c r="A12">
        <v>10</v>
      </c>
      <c r="B12" s="12" t="s">
        <v>415</v>
      </c>
      <c r="C12" s="12" t="s">
        <v>49</v>
      </c>
      <c r="D12" s="12" t="s">
        <v>416</v>
      </c>
      <c r="E12" s="13" t="s">
        <v>417</v>
      </c>
      <c r="F12" s="13" t="s">
        <v>418</v>
      </c>
    </row>
    <row r="13" spans="1:6" x14ac:dyDescent="0.4">
      <c r="A13">
        <v>11</v>
      </c>
      <c r="B13" s="12" t="s">
        <v>137</v>
      </c>
      <c r="C13" s="12" t="s">
        <v>419</v>
      </c>
      <c r="D13" s="12" t="s">
        <v>390</v>
      </c>
      <c r="E13" s="13" t="s">
        <v>420</v>
      </c>
      <c r="F13" s="13" t="s">
        <v>421</v>
      </c>
    </row>
    <row r="14" spans="1:6" x14ac:dyDescent="0.4">
      <c r="A14">
        <v>12</v>
      </c>
      <c r="B14" s="12" t="s">
        <v>422</v>
      </c>
      <c r="C14" s="12" t="s">
        <v>423</v>
      </c>
      <c r="D14" s="12" t="s">
        <v>402</v>
      </c>
      <c r="E14" s="13" t="s">
        <v>424</v>
      </c>
      <c r="F14" s="14" t="s">
        <v>425</v>
      </c>
    </row>
    <row r="15" spans="1:6" x14ac:dyDescent="0.4">
      <c r="A15">
        <v>13</v>
      </c>
      <c r="B15" s="12" t="s">
        <v>426</v>
      </c>
      <c r="C15" s="12" t="s">
        <v>427</v>
      </c>
      <c r="D15" s="12" t="s">
        <v>402</v>
      </c>
      <c r="E15" s="13" t="s">
        <v>428</v>
      </c>
      <c r="F15" s="13" t="s">
        <v>429</v>
      </c>
    </row>
    <row r="16" spans="1:6" x14ac:dyDescent="0.4">
      <c r="A16">
        <v>14</v>
      </c>
      <c r="B16" s="12" t="s">
        <v>7</v>
      </c>
      <c r="C16" s="12" t="s">
        <v>0</v>
      </c>
      <c r="D16" s="12" t="s">
        <v>412</v>
      </c>
      <c r="E16" s="13" t="s">
        <v>430</v>
      </c>
      <c r="F16" s="13" t="s">
        <v>431</v>
      </c>
    </row>
    <row r="17" spans="1:6" x14ac:dyDescent="0.4">
      <c r="A17">
        <v>15</v>
      </c>
      <c r="B17" s="12" t="s">
        <v>432</v>
      </c>
      <c r="C17" s="12" t="s">
        <v>433</v>
      </c>
      <c r="D17" s="12" t="s">
        <v>402</v>
      </c>
      <c r="E17" s="13" t="s">
        <v>434</v>
      </c>
      <c r="F17" s="13" t="s">
        <v>435</v>
      </c>
    </row>
    <row r="18" spans="1:6" x14ac:dyDescent="0.4">
      <c r="A18">
        <v>16</v>
      </c>
      <c r="B18" s="12" t="s">
        <v>436</v>
      </c>
      <c r="C18" s="12" t="s">
        <v>437</v>
      </c>
      <c r="D18" s="12" t="s">
        <v>438</v>
      </c>
      <c r="E18" s="13" t="s">
        <v>439</v>
      </c>
      <c r="F18" s="13" t="s">
        <v>440</v>
      </c>
    </row>
    <row r="19" spans="1:6" x14ac:dyDescent="0.4">
      <c r="A19">
        <v>17</v>
      </c>
      <c r="B19" s="12" t="s">
        <v>441</v>
      </c>
      <c r="C19" s="12" t="s">
        <v>442</v>
      </c>
      <c r="D19" s="12" t="s">
        <v>382</v>
      </c>
      <c r="E19" s="13" t="s">
        <v>443</v>
      </c>
      <c r="F19" s="13" t="s">
        <v>444</v>
      </c>
    </row>
    <row r="20" spans="1:6" x14ac:dyDescent="0.4">
      <c r="A20">
        <v>18</v>
      </c>
      <c r="B20" s="12" t="s">
        <v>445</v>
      </c>
      <c r="C20" s="12" t="s">
        <v>446</v>
      </c>
      <c r="D20" s="12" t="s">
        <v>402</v>
      </c>
      <c r="E20" s="13" t="s">
        <v>447</v>
      </c>
      <c r="F20" s="13" t="s">
        <v>448</v>
      </c>
    </row>
    <row r="21" spans="1:6" x14ac:dyDescent="0.4">
      <c r="A21">
        <v>19</v>
      </c>
      <c r="B21" s="12" t="s">
        <v>449</v>
      </c>
      <c r="C21" s="12" t="s">
        <v>450</v>
      </c>
      <c r="D21" s="12" t="s">
        <v>402</v>
      </c>
      <c r="E21" s="13" t="s">
        <v>451</v>
      </c>
      <c r="F21" s="13" t="s">
        <v>452</v>
      </c>
    </row>
    <row r="22" spans="1:6" x14ac:dyDescent="0.4">
      <c r="A22">
        <v>20</v>
      </c>
      <c r="B22" s="12" t="s">
        <v>453</v>
      </c>
      <c r="C22" s="12" t="s">
        <v>454</v>
      </c>
      <c r="D22" s="12" t="s">
        <v>455</v>
      </c>
      <c r="E22" s="13" t="s">
        <v>456</v>
      </c>
      <c r="F22" s="13" t="s">
        <v>457</v>
      </c>
    </row>
    <row r="23" spans="1:6" x14ac:dyDescent="0.4">
      <c r="A23">
        <v>21</v>
      </c>
      <c r="B23" s="12" t="s">
        <v>458</v>
      </c>
      <c r="C23" s="12" t="s">
        <v>459</v>
      </c>
      <c r="D23" s="12" t="s">
        <v>382</v>
      </c>
      <c r="E23" s="13" t="s">
        <v>460</v>
      </c>
      <c r="F23" s="13" t="s">
        <v>461</v>
      </c>
    </row>
    <row r="25" spans="1:6" x14ac:dyDescent="0.4">
      <c r="A25" t="s">
        <v>462</v>
      </c>
    </row>
    <row r="26" spans="1:6" x14ac:dyDescent="0.4">
      <c r="A26" t="s">
        <v>463</v>
      </c>
    </row>
    <row r="27" spans="1:6" x14ac:dyDescent="0.4">
      <c r="A27" t="s">
        <v>464</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DEEA5-0C52-418A-869D-763A08A86B98}">
  <dimension ref="A1:X90"/>
  <sheetViews>
    <sheetView topLeftCell="B11" workbookViewId="0">
      <selection activeCell="H57" sqref="H57"/>
    </sheetView>
  </sheetViews>
  <sheetFormatPr defaultRowHeight="18.75" x14ac:dyDescent="0.4"/>
  <sheetData>
    <row r="1" spans="1:19" x14ac:dyDescent="0.4">
      <c r="A1" t="s">
        <v>49</v>
      </c>
      <c r="Q1" t="s">
        <v>65</v>
      </c>
    </row>
    <row r="2" spans="1:19" x14ac:dyDescent="0.4">
      <c r="A2" t="s">
        <v>1</v>
      </c>
      <c r="B2">
        <v>900</v>
      </c>
      <c r="C2" t="s">
        <v>2</v>
      </c>
      <c r="Q2" t="s">
        <v>14</v>
      </c>
    </row>
    <row r="3" spans="1:19" x14ac:dyDescent="0.4">
      <c r="A3" t="s">
        <v>3</v>
      </c>
      <c r="B3">
        <v>1100</v>
      </c>
      <c r="C3" t="s">
        <v>2</v>
      </c>
      <c r="Q3" t="s">
        <v>77</v>
      </c>
    </row>
    <row r="4" spans="1:19" x14ac:dyDescent="0.4">
      <c r="A4" t="s">
        <v>4</v>
      </c>
      <c r="B4">
        <v>100</v>
      </c>
      <c r="C4" t="s">
        <v>2</v>
      </c>
      <c r="Q4" t="s">
        <v>78</v>
      </c>
      <c r="R4" t="s">
        <v>79</v>
      </c>
    </row>
    <row r="5" spans="1:19" x14ac:dyDescent="0.4">
      <c r="A5" t="s">
        <v>169</v>
      </c>
      <c r="B5">
        <v>48</v>
      </c>
      <c r="D5" t="s">
        <v>174</v>
      </c>
      <c r="E5" t="s">
        <v>175</v>
      </c>
      <c r="Q5" t="s">
        <v>80</v>
      </c>
      <c r="R5" t="s">
        <v>81</v>
      </c>
    </row>
    <row r="7" spans="1:19" x14ac:dyDescent="0.4">
      <c r="Q7" t="s">
        <v>69</v>
      </c>
      <c r="S7" t="s">
        <v>72</v>
      </c>
    </row>
    <row r="8" spans="1:19" x14ac:dyDescent="0.4">
      <c r="Q8" t="s">
        <v>70</v>
      </c>
      <c r="S8" t="s">
        <v>73</v>
      </c>
    </row>
    <row r="9" spans="1:19" x14ac:dyDescent="0.4">
      <c r="Q9" t="s">
        <v>71</v>
      </c>
      <c r="S9" t="s">
        <v>74</v>
      </c>
    </row>
    <row r="11" spans="1:19" x14ac:dyDescent="0.4">
      <c r="A11" t="s">
        <v>5</v>
      </c>
      <c r="B11">
        <v>1</v>
      </c>
      <c r="Q11" t="s">
        <v>75</v>
      </c>
    </row>
    <row r="12" spans="1:19" x14ac:dyDescent="0.4">
      <c r="A12" t="s">
        <v>6</v>
      </c>
      <c r="B12">
        <v>15</v>
      </c>
      <c r="C12" t="s">
        <v>7</v>
      </c>
      <c r="Q12" t="s">
        <v>76</v>
      </c>
    </row>
    <row r="13" spans="1:19" x14ac:dyDescent="0.4">
      <c r="A13" t="s">
        <v>8</v>
      </c>
      <c r="B13" t="s">
        <v>50</v>
      </c>
    </row>
    <row r="14" spans="1:19" x14ac:dyDescent="0.4">
      <c r="A14" t="s">
        <v>10</v>
      </c>
      <c r="B14" t="s">
        <v>51</v>
      </c>
      <c r="Q14" t="s">
        <v>82</v>
      </c>
    </row>
    <row r="15" spans="1:19" x14ac:dyDescent="0.4">
      <c r="A15" t="s">
        <v>12</v>
      </c>
      <c r="B15" t="s">
        <v>52</v>
      </c>
      <c r="Q15" t="s">
        <v>83</v>
      </c>
      <c r="S15" t="s">
        <v>84</v>
      </c>
    </row>
    <row r="16" spans="1:19" x14ac:dyDescent="0.4">
      <c r="A16" t="s">
        <v>12</v>
      </c>
      <c r="B16" t="s">
        <v>53</v>
      </c>
      <c r="S16" t="s">
        <v>94</v>
      </c>
    </row>
    <row r="17" spans="1:24" x14ac:dyDescent="0.4">
      <c r="S17" s="9" t="s">
        <v>14</v>
      </c>
      <c r="T17" s="9">
        <v>1</v>
      </c>
      <c r="U17" s="9">
        <v>4</v>
      </c>
      <c r="V17" s="9">
        <v>8</v>
      </c>
      <c r="W17" s="9">
        <v>13</v>
      </c>
      <c r="X17" s="9">
        <v>19</v>
      </c>
    </row>
    <row r="18" spans="1:24" x14ac:dyDescent="0.4">
      <c r="A18" t="s">
        <v>49</v>
      </c>
      <c r="B18" t="s">
        <v>38</v>
      </c>
      <c r="S18" s="9" t="s">
        <v>95</v>
      </c>
      <c r="T18" s="9">
        <v>1</v>
      </c>
      <c r="U18" s="9">
        <v>2</v>
      </c>
      <c r="V18" s="9">
        <v>3</v>
      </c>
      <c r="W18" s="9">
        <v>4</v>
      </c>
      <c r="X18" s="9">
        <v>5</v>
      </c>
    </row>
    <row r="19" spans="1:24" x14ac:dyDescent="0.4">
      <c r="A19" t="s">
        <v>14</v>
      </c>
      <c r="B19" t="s">
        <v>15</v>
      </c>
      <c r="D19" t="s">
        <v>16</v>
      </c>
      <c r="E19" t="s">
        <v>17</v>
      </c>
      <c r="F19" t="s">
        <v>18</v>
      </c>
      <c r="G19" t="s">
        <v>19</v>
      </c>
      <c r="H19" t="s">
        <v>20</v>
      </c>
      <c r="I19" t="s">
        <v>21</v>
      </c>
    </row>
    <row r="20" spans="1:24" x14ac:dyDescent="0.4">
      <c r="A20">
        <v>1</v>
      </c>
      <c r="B20" t="s">
        <v>22</v>
      </c>
      <c r="C20" t="s">
        <v>39</v>
      </c>
      <c r="D20">
        <v>15</v>
      </c>
      <c r="E20">
        <v>0.3</v>
      </c>
      <c r="F20">
        <v>3</v>
      </c>
      <c r="G20">
        <v>40</v>
      </c>
      <c r="H20">
        <v>18</v>
      </c>
      <c r="I20">
        <v>1</v>
      </c>
      <c r="J20" t="s">
        <v>113</v>
      </c>
    </row>
    <row r="21" spans="1:24" x14ac:dyDescent="0.4">
      <c r="A21">
        <v>1</v>
      </c>
      <c r="B21" t="s">
        <v>22</v>
      </c>
      <c r="C21" t="s">
        <v>40</v>
      </c>
      <c r="D21">
        <v>50</v>
      </c>
      <c r="E21">
        <v>1</v>
      </c>
      <c r="F21">
        <v>1</v>
      </c>
      <c r="G21">
        <v>25</v>
      </c>
      <c r="H21">
        <v>18</v>
      </c>
      <c r="I21">
        <v>200</v>
      </c>
      <c r="J21" t="s">
        <v>115</v>
      </c>
    </row>
    <row r="22" spans="1:24" x14ac:dyDescent="0.4">
      <c r="S22" t="s">
        <v>98</v>
      </c>
      <c r="V22" t="s">
        <v>102</v>
      </c>
    </row>
    <row r="23" spans="1:24" x14ac:dyDescent="0.4">
      <c r="B23" t="s">
        <v>42</v>
      </c>
      <c r="S23" t="s">
        <v>99</v>
      </c>
      <c r="V23" t="s">
        <v>103</v>
      </c>
    </row>
    <row r="24" spans="1:24" x14ac:dyDescent="0.4">
      <c r="T24" t="s">
        <v>100</v>
      </c>
    </row>
    <row r="25" spans="1:24" x14ac:dyDescent="0.4">
      <c r="A25" t="s">
        <v>14</v>
      </c>
      <c r="B25" t="s">
        <v>15</v>
      </c>
      <c r="D25" t="s">
        <v>16</v>
      </c>
      <c r="E25" t="s">
        <v>17</v>
      </c>
      <c r="F25" t="s">
        <v>18</v>
      </c>
      <c r="G25" t="s">
        <v>19</v>
      </c>
      <c r="H25" t="s">
        <v>20</v>
      </c>
      <c r="I25" t="s">
        <v>21</v>
      </c>
      <c r="T25" t="s">
        <v>101</v>
      </c>
    </row>
    <row r="26" spans="1:24" x14ac:dyDescent="0.4">
      <c r="A26">
        <v>1</v>
      </c>
      <c r="B26" t="s">
        <v>25</v>
      </c>
      <c r="C26" t="s">
        <v>39</v>
      </c>
      <c r="D26">
        <v>15</v>
      </c>
      <c r="E26">
        <v>0.15</v>
      </c>
      <c r="F26">
        <v>6</v>
      </c>
      <c r="G26">
        <v>40</v>
      </c>
      <c r="H26">
        <v>8</v>
      </c>
      <c r="I26">
        <v>1</v>
      </c>
      <c r="J26" t="s">
        <v>114</v>
      </c>
    </row>
    <row r="27" spans="1:24" x14ac:dyDescent="0.4">
      <c r="A27">
        <v>1</v>
      </c>
      <c r="B27" t="s">
        <v>25</v>
      </c>
      <c r="C27" t="s">
        <v>27</v>
      </c>
      <c r="D27">
        <v>15</v>
      </c>
      <c r="E27">
        <v>0.5</v>
      </c>
      <c r="F27">
        <v>1</v>
      </c>
      <c r="G27">
        <v>30</v>
      </c>
      <c r="H27">
        <v>2</v>
      </c>
      <c r="I27">
        <v>50</v>
      </c>
      <c r="J27" t="s">
        <v>43</v>
      </c>
      <c r="S27" t="s">
        <v>104</v>
      </c>
      <c r="V27" t="s">
        <v>105</v>
      </c>
    </row>
    <row r="28" spans="1:24" x14ac:dyDescent="0.4">
      <c r="T28" t="s">
        <v>106</v>
      </c>
    </row>
    <row r="29" spans="1:24" x14ac:dyDescent="0.4">
      <c r="B29" t="s">
        <v>44</v>
      </c>
    </row>
    <row r="30" spans="1:24" x14ac:dyDescent="0.4">
      <c r="B30" t="s">
        <v>45</v>
      </c>
      <c r="S30" t="s">
        <v>166</v>
      </c>
    </row>
    <row r="31" spans="1:24" x14ac:dyDescent="0.4">
      <c r="S31" t="s">
        <v>167</v>
      </c>
    </row>
    <row r="32" spans="1:24" x14ac:dyDescent="0.4">
      <c r="S32" t="s">
        <v>168</v>
      </c>
    </row>
    <row r="33" spans="1:23" x14ac:dyDescent="0.4">
      <c r="A33" t="s">
        <v>14</v>
      </c>
      <c r="B33" t="s">
        <v>15</v>
      </c>
      <c r="D33" t="s">
        <v>16</v>
      </c>
      <c r="E33" t="s">
        <v>17</v>
      </c>
      <c r="F33" t="s">
        <v>18</v>
      </c>
      <c r="G33" t="s">
        <v>184</v>
      </c>
      <c r="H33" t="s">
        <v>20</v>
      </c>
      <c r="I33" t="s">
        <v>21</v>
      </c>
    </row>
    <row r="34" spans="1:23" x14ac:dyDescent="0.4">
      <c r="A34">
        <v>1</v>
      </c>
      <c r="B34" t="s">
        <v>22</v>
      </c>
      <c r="C34" t="s">
        <v>39</v>
      </c>
      <c r="D34">
        <v>15</v>
      </c>
      <c r="E34">
        <v>0.3</v>
      </c>
      <c r="F34">
        <v>3</v>
      </c>
      <c r="G34">
        <v>40</v>
      </c>
      <c r="H34">
        <v>20</v>
      </c>
      <c r="I34">
        <v>1</v>
      </c>
      <c r="J34" t="s">
        <v>203</v>
      </c>
      <c r="W34" t="s">
        <v>67</v>
      </c>
    </row>
    <row r="35" spans="1:23" x14ac:dyDescent="0.4">
      <c r="A35">
        <v>1</v>
      </c>
      <c r="B35" t="s">
        <v>22</v>
      </c>
      <c r="C35" t="s">
        <v>40</v>
      </c>
      <c r="D35">
        <v>50</v>
      </c>
      <c r="E35">
        <v>1</v>
      </c>
      <c r="F35">
        <v>1</v>
      </c>
      <c r="G35">
        <v>25</v>
      </c>
      <c r="H35">
        <v>20</v>
      </c>
      <c r="I35">
        <v>200</v>
      </c>
      <c r="J35" t="s">
        <v>181</v>
      </c>
      <c r="W35" t="s">
        <v>68</v>
      </c>
    </row>
    <row r="37" spans="1:23" x14ac:dyDescent="0.4">
      <c r="A37">
        <v>2</v>
      </c>
      <c r="B37" t="s">
        <v>22</v>
      </c>
      <c r="C37" t="s">
        <v>39</v>
      </c>
      <c r="D37">
        <v>15</v>
      </c>
      <c r="E37">
        <v>0.25</v>
      </c>
      <c r="F37">
        <v>4</v>
      </c>
      <c r="G37">
        <v>40</v>
      </c>
      <c r="H37">
        <v>20</v>
      </c>
      <c r="I37">
        <v>1</v>
      </c>
      <c r="J37" t="s">
        <v>203</v>
      </c>
      <c r="W37" t="s">
        <v>85</v>
      </c>
    </row>
    <row r="38" spans="1:23" x14ac:dyDescent="0.4">
      <c r="A38">
        <v>2</v>
      </c>
      <c r="B38" t="s">
        <v>22</v>
      </c>
      <c r="C38" t="s">
        <v>40</v>
      </c>
      <c r="D38">
        <v>50</v>
      </c>
      <c r="E38">
        <v>1</v>
      </c>
      <c r="F38">
        <v>1</v>
      </c>
      <c r="G38">
        <v>25</v>
      </c>
      <c r="H38">
        <v>20</v>
      </c>
      <c r="I38">
        <v>200</v>
      </c>
      <c r="J38" t="s">
        <v>181</v>
      </c>
      <c r="W38" t="s">
        <v>87</v>
      </c>
    </row>
    <row r="39" spans="1:23" x14ac:dyDescent="0.4">
      <c r="W39" t="s">
        <v>86</v>
      </c>
    </row>
    <row r="40" spans="1:23" x14ac:dyDescent="0.4">
      <c r="A40">
        <v>3</v>
      </c>
      <c r="B40" t="s">
        <v>22</v>
      </c>
      <c r="C40" t="s">
        <v>39</v>
      </c>
      <c r="D40">
        <v>15</v>
      </c>
      <c r="E40">
        <v>0.25</v>
      </c>
      <c r="F40">
        <v>4</v>
      </c>
      <c r="G40">
        <v>40</v>
      </c>
      <c r="H40">
        <v>20</v>
      </c>
      <c r="I40">
        <v>1</v>
      </c>
      <c r="J40" t="s">
        <v>203</v>
      </c>
      <c r="W40" t="s">
        <v>88</v>
      </c>
    </row>
    <row r="41" spans="1:23" x14ac:dyDescent="0.4">
      <c r="A41">
        <v>3</v>
      </c>
      <c r="B41" t="s">
        <v>22</v>
      </c>
      <c r="C41" t="s">
        <v>40</v>
      </c>
      <c r="D41">
        <v>50</v>
      </c>
      <c r="E41">
        <v>1</v>
      </c>
      <c r="F41">
        <v>1</v>
      </c>
      <c r="G41">
        <v>25</v>
      </c>
      <c r="H41">
        <v>20</v>
      </c>
      <c r="I41">
        <v>200</v>
      </c>
      <c r="J41" t="s">
        <v>181</v>
      </c>
    </row>
    <row r="42" spans="1:23" x14ac:dyDescent="0.4">
      <c r="W42" t="s">
        <v>107</v>
      </c>
    </row>
    <row r="43" spans="1:23" x14ac:dyDescent="0.4">
      <c r="A43">
        <v>4</v>
      </c>
      <c r="B43" t="s">
        <v>22</v>
      </c>
      <c r="C43" t="s">
        <v>39</v>
      </c>
      <c r="D43">
        <v>15</v>
      </c>
      <c r="E43">
        <v>0.2</v>
      </c>
      <c r="F43">
        <v>5</v>
      </c>
      <c r="G43">
        <v>40</v>
      </c>
      <c r="H43">
        <v>20</v>
      </c>
      <c r="I43">
        <v>1</v>
      </c>
      <c r="J43" t="s">
        <v>203</v>
      </c>
    </row>
    <row r="44" spans="1:23" x14ac:dyDescent="0.4">
      <c r="A44">
        <v>4</v>
      </c>
      <c r="B44" t="s">
        <v>22</v>
      </c>
      <c r="C44" t="s">
        <v>40</v>
      </c>
      <c r="D44">
        <v>50</v>
      </c>
      <c r="E44">
        <v>1</v>
      </c>
      <c r="F44">
        <v>1</v>
      </c>
      <c r="G44">
        <v>30</v>
      </c>
      <c r="H44">
        <v>20</v>
      </c>
      <c r="I44">
        <v>200</v>
      </c>
      <c r="J44" t="s">
        <v>182</v>
      </c>
      <c r="W44" t="s">
        <v>112</v>
      </c>
    </row>
    <row r="45" spans="1:23" x14ac:dyDescent="0.4">
      <c r="W45" t="s">
        <v>108</v>
      </c>
    </row>
    <row r="46" spans="1:23" x14ac:dyDescent="0.4">
      <c r="A46">
        <v>5</v>
      </c>
      <c r="B46" t="s">
        <v>22</v>
      </c>
      <c r="C46" t="s">
        <v>39</v>
      </c>
      <c r="D46">
        <v>15</v>
      </c>
      <c r="E46">
        <v>0.2</v>
      </c>
      <c r="F46">
        <v>5</v>
      </c>
      <c r="G46">
        <v>40</v>
      </c>
      <c r="H46">
        <v>20</v>
      </c>
      <c r="I46">
        <v>1</v>
      </c>
      <c r="J46" t="s">
        <v>204</v>
      </c>
      <c r="W46" t="s">
        <v>111</v>
      </c>
    </row>
    <row r="47" spans="1:23" x14ac:dyDescent="0.4">
      <c r="A47">
        <v>5</v>
      </c>
      <c r="B47" t="s">
        <v>22</v>
      </c>
      <c r="C47" t="s">
        <v>40</v>
      </c>
      <c r="D47">
        <v>50</v>
      </c>
      <c r="E47">
        <v>1</v>
      </c>
      <c r="F47">
        <v>1</v>
      </c>
      <c r="G47">
        <v>30</v>
      </c>
      <c r="H47">
        <v>20</v>
      </c>
      <c r="I47">
        <v>200</v>
      </c>
      <c r="J47" t="s">
        <v>182</v>
      </c>
      <c r="W47" t="s">
        <v>108</v>
      </c>
    </row>
    <row r="48" spans="1:23" x14ac:dyDescent="0.4">
      <c r="W48" t="s">
        <v>110</v>
      </c>
    </row>
    <row r="49" spans="1:23" x14ac:dyDescent="0.4">
      <c r="A49">
        <v>6</v>
      </c>
      <c r="B49" t="s">
        <v>22</v>
      </c>
      <c r="C49" t="s">
        <v>39</v>
      </c>
      <c r="D49">
        <v>15</v>
      </c>
      <c r="E49">
        <v>0.2</v>
      </c>
      <c r="F49">
        <v>5</v>
      </c>
      <c r="G49">
        <v>40</v>
      </c>
      <c r="H49">
        <v>20</v>
      </c>
      <c r="I49">
        <v>1</v>
      </c>
      <c r="J49" t="s">
        <v>204</v>
      </c>
      <c r="W49" t="s">
        <v>108</v>
      </c>
    </row>
    <row r="50" spans="1:23" x14ac:dyDescent="0.4">
      <c r="A50">
        <v>6</v>
      </c>
      <c r="B50" t="s">
        <v>22</v>
      </c>
      <c r="C50" t="s">
        <v>40</v>
      </c>
      <c r="D50">
        <v>50</v>
      </c>
      <c r="E50">
        <v>1</v>
      </c>
      <c r="F50">
        <v>1</v>
      </c>
      <c r="G50">
        <v>30</v>
      </c>
      <c r="H50">
        <v>20</v>
      </c>
      <c r="I50">
        <v>200</v>
      </c>
      <c r="J50" t="s">
        <v>182</v>
      </c>
      <c r="W50" t="s">
        <v>109</v>
      </c>
    </row>
    <row r="52" spans="1:23" x14ac:dyDescent="0.4">
      <c r="A52">
        <v>7</v>
      </c>
      <c r="B52" t="s">
        <v>22</v>
      </c>
      <c r="C52" t="s">
        <v>39</v>
      </c>
      <c r="D52">
        <v>15</v>
      </c>
      <c r="E52">
        <v>0.15</v>
      </c>
      <c r="F52">
        <v>6</v>
      </c>
      <c r="G52">
        <v>40</v>
      </c>
      <c r="H52">
        <v>20</v>
      </c>
      <c r="I52">
        <v>1</v>
      </c>
      <c r="J52" t="s">
        <v>204</v>
      </c>
    </row>
    <row r="53" spans="1:23" x14ac:dyDescent="0.4">
      <c r="A53">
        <v>7</v>
      </c>
      <c r="B53" t="s">
        <v>22</v>
      </c>
      <c r="C53" t="s">
        <v>40</v>
      </c>
      <c r="D53">
        <v>100</v>
      </c>
      <c r="E53">
        <v>1</v>
      </c>
      <c r="F53">
        <v>1</v>
      </c>
      <c r="G53">
        <v>35</v>
      </c>
      <c r="H53">
        <v>20</v>
      </c>
      <c r="I53">
        <v>300</v>
      </c>
      <c r="J53" t="s">
        <v>183</v>
      </c>
    </row>
    <row r="55" spans="1:23" x14ac:dyDescent="0.4">
      <c r="A55" t="s">
        <v>14</v>
      </c>
      <c r="B55" t="s">
        <v>15</v>
      </c>
      <c r="D55" t="s">
        <v>16</v>
      </c>
      <c r="E55" t="s">
        <v>17</v>
      </c>
      <c r="F55" t="s">
        <v>18</v>
      </c>
      <c r="G55" t="s">
        <v>19</v>
      </c>
      <c r="H55" t="s">
        <v>20</v>
      </c>
      <c r="I55" t="s">
        <v>21</v>
      </c>
    </row>
    <row r="56" spans="1:23" x14ac:dyDescent="0.4">
      <c r="A56">
        <v>1</v>
      </c>
      <c r="B56" t="s">
        <v>25</v>
      </c>
      <c r="C56" t="s">
        <v>39</v>
      </c>
      <c r="D56">
        <v>15</v>
      </c>
      <c r="E56">
        <v>0.15</v>
      </c>
      <c r="F56">
        <v>6</v>
      </c>
      <c r="G56">
        <v>40</v>
      </c>
      <c r="H56">
        <v>7</v>
      </c>
      <c r="I56">
        <v>2</v>
      </c>
      <c r="J56" t="s">
        <v>205</v>
      </c>
    </row>
    <row r="57" spans="1:23" x14ac:dyDescent="0.4">
      <c r="A57">
        <v>1</v>
      </c>
      <c r="B57" t="s">
        <v>25</v>
      </c>
      <c r="C57" t="s">
        <v>27</v>
      </c>
      <c r="D57">
        <v>15</v>
      </c>
      <c r="E57">
        <v>0.5</v>
      </c>
      <c r="F57">
        <v>1</v>
      </c>
      <c r="G57">
        <v>30</v>
      </c>
      <c r="H57">
        <v>1.5</v>
      </c>
      <c r="I57">
        <v>100</v>
      </c>
      <c r="J57" t="s">
        <v>28</v>
      </c>
    </row>
    <row r="59" spans="1:23" x14ac:dyDescent="0.4">
      <c r="A59">
        <v>2</v>
      </c>
      <c r="B59" t="s">
        <v>25</v>
      </c>
      <c r="C59" t="s">
        <v>39</v>
      </c>
      <c r="D59">
        <v>15</v>
      </c>
      <c r="E59">
        <v>0.15</v>
      </c>
      <c r="F59">
        <v>6</v>
      </c>
      <c r="G59">
        <v>40</v>
      </c>
      <c r="H59">
        <v>7</v>
      </c>
      <c r="I59">
        <v>2</v>
      </c>
      <c r="J59" t="s">
        <v>205</v>
      </c>
    </row>
    <row r="60" spans="1:23" x14ac:dyDescent="0.4">
      <c r="A60">
        <v>2</v>
      </c>
      <c r="B60" t="s">
        <v>25</v>
      </c>
      <c r="C60" t="s">
        <v>27</v>
      </c>
      <c r="D60">
        <v>15</v>
      </c>
      <c r="E60">
        <v>0.5</v>
      </c>
      <c r="F60">
        <v>1</v>
      </c>
      <c r="G60">
        <v>30</v>
      </c>
      <c r="H60">
        <v>1.5</v>
      </c>
      <c r="I60">
        <v>100</v>
      </c>
      <c r="J60" t="s">
        <v>28</v>
      </c>
    </row>
    <row r="62" spans="1:23" x14ac:dyDescent="0.4">
      <c r="A62">
        <v>3</v>
      </c>
      <c r="B62" t="s">
        <v>25</v>
      </c>
      <c r="C62" t="s">
        <v>39</v>
      </c>
      <c r="D62">
        <v>15</v>
      </c>
      <c r="E62">
        <v>0.15</v>
      </c>
      <c r="F62">
        <v>6</v>
      </c>
      <c r="G62">
        <v>40</v>
      </c>
      <c r="H62">
        <v>7</v>
      </c>
      <c r="I62">
        <v>2</v>
      </c>
      <c r="J62" t="s">
        <v>205</v>
      </c>
    </row>
    <row r="63" spans="1:23" x14ac:dyDescent="0.4">
      <c r="A63">
        <v>3</v>
      </c>
      <c r="B63" t="s">
        <v>25</v>
      </c>
      <c r="C63" t="s">
        <v>27</v>
      </c>
      <c r="D63">
        <v>15</v>
      </c>
      <c r="E63">
        <v>0.5</v>
      </c>
      <c r="F63">
        <v>1</v>
      </c>
      <c r="G63">
        <v>30</v>
      </c>
      <c r="H63">
        <v>1.5</v>
      </c>
      <c r="I63">
        <v>100</v>
      </c>
      <c r="J63" t="s">
        <v>28</v>
      </c>
    </row>
    <row r="65" spans="1:10" x14ac:dyDescent="0.4">
      <c r="A65">
        <v>4</v>
      </c>
      <c r="B65" t="s">
        <v>25</v>
      </c>
      <c r="C65" t="s">
        <v>39</v>
      </c>
      <c r="D65">
        <v>15</v>
      </c>
      <c r="E65">
        <v>0.1</v>
      </c>
      <c r="F65">
        <v>6</v>
      </c>
      <c r="G65">
        <v>40</v>
      </c>
      <c r="H65">
        <v>7</v>
      </c>
      <c r="I65">
        <v>2</v>
      </c>
      <c r="J65" t="s">
        <v>206</v>
      </c>
    </row>
    <row r="66" spans="1:10" x14ac:dyDescent="0.4">
      <c r="A66">
        <v>4</v>
      </c>
      <c r="B66" t="s">
        <v>25</v>
      </c>
      <c r="C66" t="s">
        <v>27</v>
      </c>
      <c r="D66">
        <v>15</v>
      </c>
      <c r="E66">
        <v>0.4</v>
      </c>
      <c r="F66">
        <v>1</v>
      </c>
      <c r="G66">
        <v>30</v>
      </c>
      <c r="H66">
        <v>1.5</v>
      </c>
      <c r="I66">
        <v>100</v>
      </c>
      <c r="J66" t="s">
        <v>28</v>
      </c>
    </row>
    <row r="68" spans="1:10" x14ac:dyDescent="0.4">
      <c r="A68">
        <v>5</v>
      </c>
      <c r="B68" t="s">
        <v>25</v>
      </c>
      <c r="C68" t="s">
        <v>39</v>
      </c>
      <c r="D68">
        <v>15</v>
      </c>
      <c r="E68">
        <v>0.1</v>
      </c>
      <c r="F68">
        <v>6</v>
      </c>
      <c r="G68">
        <v>40</v>
      </c>
      <c r="H68">
        <v>7</v>
      </c>
      <c r="I68">
        <v>2</v>
      </c>
      <c r="J68" t="s">
        <v>206</v>
      </c>
    </row>
    <row r="69" spans="1:10" x14ac:dyDescent="0.4">
      <c r="A69">
        <v>5</v>
      </c>
      <c r="B69" t="s">
        <v>25</v>
      </c>
      <c r="C69" t="s">
        <v>27</v>
      </c>
      <c r="D69">
        <v>15</v>
      </c>
      <c r="E69">
        <v>0.4</v>
      </c>
      <c r="F69">
        <v>1</v>
      </c>
      <c r="G69">
        <v>30</v>
      </c>
      <c r="H69">
        <v>1.5</v>
      </c>
      <c r="I69">
        <v>100</v>
      </c>
      <c r="J69" t="s">
        <v>28</v>
      </c>
    </row>
    <row r="71" spans="1:10" x14ac:dyDescent="0.4">
      <c r="A71">
        <v>6</v>
      </c>
      <c r="B71" t="s">
        <v>25</v>
      </c>
      <c r="C71" t="s">
        <v>39</v>
      </c>
      <c r="D71">
        <v>15</v>
      </c>
      <c r="E71">
        <v>0.1</v>
      </c>
      <c r="F71">
        <v>6</v>
      </c>
      <c r="G71">
        <v>40</v>
      </c>
      <c r="H71">
        <v>7</v>
      </c>
      <c r="I71">
        <v>2</v>
      </c>
      <c r="J71" t="s">
        <v>206</v>
      </c>
    </row>
    <row r="72" spans="1:10" x14ac:dyDescent="0.4">
      <c r="A72">
        <v>6</v>
      </c>
      <c r="B72" t="s">
        <v>25</v>
      </c>
      <c r="C72" t="s">
        <v>27</v>
      </c>
      <c r="D72">
        <v>15</v>
      </c>
      <c r="E72">
        <v>0.4</v>
      </c>
      <c r="F72">
        <v>1</v>
      </c>
      <c r="G72">
        <v>30</v>
      </c>
      <c r="H72">
        <v>1.5</v>
      </c>
      <c r="I72">
        <v>100</v>
      </c>
      <c r="J72" t="s">
        <v>28</v>
      </c>
    </row>
    <row r="74" spans="1:10" x14ac:dyDescent="0.4">
      <c r="A74">
        <v>7</v>
      </c>
      <c r="B74" t="s">
        <v>25</v>
      </c>
      <c r="C74" t="s">
        <v>39</v>
      </c>
      <c r="D74">
        <v>15</v>
      </c>
      <c r="E74">
        <v>0.06</v>
      </c>
      <c r="F74">
        <v>10</v>
      </c>
      <c r="G74">
        <v>40</v>
      </c>
      <c r="H74">
        <v>7</v>
      </c>
      <c r="I74">
        <v>4</v>
      </c>
      <c r="J74" t="s">
        <v>206</v>
      </c>
    </row>
    <row r="75" spans="1:10" x14ac:dyDescent="0.4">
      <c r="A75">
        <v>7</v>
      </c>
      <c r="B75" t="s">
        <v>25</v>
      </c>
      <c r="C75" t="s">
        <v>27</v>
      </c>
      <c r="D75">
        <v>15</v>
      </c>
      <c r="E75">
        <v>0.3</v>
      </c>
      <c r="F75">
        <v>1</v>
      </c>
      <c r="G75">
        <v>30</v>
      </c>
      <c r="H75">
        <v>1.5</v>
      </c>
      <c r="I75">
        <v>50</v>
      </c>
      <c r="J75" t="s">
        <v>28</v>
      </c>
    </row>
    <row r="77" spans="1:10" x14ac:dyDescent="0.4">
      <c r="A77" t="s">
        <v>32</v>
      </c>
    </row>
    <row r="78" spans="1:10" x14ac:dyDescent="0.4">
      <c r="A78" t="s">
        <v>33</v>
      </c>
    </row>
    <row r="79" spans="1:10" x14ac:dyDescent="0.4">
      <c r="A79" t="s">
        <v>189</v>
      </c>
    </row>
    <row r="81" spans="1:5" x14ac:dyDescent="0.4">
      <c r="A81" t="s">
        <v>34</v>
      </c>
    </row>
    <row r="82" spans="1:5" x14ac:dyDescent="0.4">
      <c r="A82" t="s">
        <v>190</v>
      </c>
    </row>
    <row r="84" spans="1:5" x14ac:dyDescent="0.4">
      <c r="A84" t="s">
        <v>35</v>
      </c>
      <c r="B84" t="s">
        <v>37</v>
      </c>
      <c r="C84" t="s">
        <v>96</v>
      </c>
      <c r="D84" t="s">
        <v>248</v>
      </c>
      <c r="E84" t="s">
        <v>249</v>
      </c>
    </row>
    <row r="85" spans="1:5" x14ac:dyDescent="0.4">
      <c r="A85" t="s">
        <v>36</v>
      </c>
    </row>
    <row r="86" spans="1:5" x14ac:dyDescent="0.4">
      <c r="A86" t="s">
        <v>89</v>
      </c>
    </row>
    <row r="87" spans="1:5" x14ac:dyDescent="0.4">
      <c r="A87" t="s">
        <v>48</v>
      </c>
    </row>
    <row r="88" spans="1:5" x14ac:dyDescent="0.4">
      <c r="A88" t="s">
        <v>54</v>
      </c>
    </row>
    <row r="89" spans="1:5" x14ac:dyDescent="0.4">
      <c r="A89" t="s">
        <v>47</v>
      </c>
    </row>
    <row r="90" spans="1:5" x14ac:dyDescent="0.4">
      <c r="A90" t="s">
        <v>97</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D4FE6-ED91-42FF-8EA8-625E7642B1DC}">
  <dimension ref="A1:AA71"/>
  <sheetViews>
    <sheetView topLeftCell="A51" workbookViewId="0">
      <selection activeCell="A58" sqref="A58:E65"/>
    </sheetView>
  </sheetViews>
  <sheetFormatPr defaultRowHeight="18.75" x14ac:dyDescent="0.4"/>
  <cols>
    <col min="1" max="1" width="12" customWidth="1"/>
  </cols>
  <sheetData>
    <row r="1" spans="1:27" x14ac:dyDescent="0.4">
      <c r="A1" t="s">
        <v>0</v>
      </c>
      <c r="N1" s="1" t="s">
        <v>46</v>
      </c>
      <c r="O1" s="2"/>
      <c r="P1" s="2"/>
      <c r="Q1" s="2"/>
      <c r="R1" s="2"/>
      <c r="S1" s="2"/>
      <c r="T1" s="2"/>
      <c r="U1" s="2"/>
      <c r="V1" s="2"/>
      <c r="W1" s="2"/>
      <c r="X1" s="2"/>
      <c r="Y1" s="2"/>
      <c r="Z1" s="2"/>
      <c r="AA1" s="3"/>
    </row>
    <row r="2" spans="1:27" x14ac:dyDescent="0.4">
      <c r="A2" t="s">
        <v>1</v>
      </c>
      <c r="B2">
        <v>750</v>
      </c>
      <c r="C2" t="s">
        <v>2</v>
      </c>
      <c r="N2" s="4"/>
      <c r="O2" t="s">
        <v>38</v>
      </c>
      <c r="AA2" s="5"/>
    </row>
    <row r="3" spans="1:27" x14ac:dyDescent="0.4">
      <c r="A3" t="s">
        <v>3</v>
      </c>
      <c r="B3">
        <v>1250</v>
      </c>
      <c r="C3" t="s">
        <v>2</v>
      </c>
      <c r="N3" s="4" t="s">
        <v>14</v>
      </c>
      <c r="O3" t="s">
        <v>15</v>
      </c>
      <c r="Q3" t="s">
        <v>16</v>
      </c>
      <c r="R3" t="s">
        <v>17</v>
      </c>
      <c r="S3" t="s">
        <v>18</v>
      </c>
      <c r="T3" t="s">
        <v>19</v>
      </c>
      <c r="U3" t="s">
        <v>20</v>
      </c>
      <c r="V3" t="s">
        <v>21</v>
      </c>
      <c r="AA3" s="5"/>
    </row>
    <row r="4" spans="1:27" x14ac:dyDescent="0.4">
      <c r="A4" t="s">
        <v>4</v>
      </c>
      <c r="B4">
        <v>100</v>
      </c>
      <c r="C4" t="s">
        <v>2</v>
      </c>
      <c r="N4" s="4">
        <v>1</v>
      </c>
      <c r="O4" t="s">
        <v>22</v>
      </c>
      <c r="P4" t="s">
        <v>39</v>
      </c>
      <c r="Q4">
        <v>15</v>
      </c>
      <c r="R4">
        <v>0.3</v>
      </c>
      <c r="S4">
        <v>3</v>
      </c>
      <c r="T4">
        <v>1000</v>
      </c>
      <c r="U4">
        <v>20</v>
      </c>
      <c r="V4">
        <v>1</v>
      </c>
      <c r="AA4" s="5"/>
    </row>
    <row r="5" spans="1:27" x14ac:dyDescent="0.4">
      <c r="A5" t="s">
        <v>169</v>
      </c>
      <c r="B5">
        <v>42</v>
      </c>
      <c r="D5" t="s">
        <v>174</v>
      </c>
      <c r="E5" t="s">
        <v>175</v>
      </c>
      <c r="N5" s="4">
        <v>1</v>
      </c>
      <c r="O5" t="s">
        <v>22</v>
      </c>
      <c r="P5" t="s">
        <v>40</v>
      </c>
      <c r="Q5">
        <v>50</v>
      </c>
      <c r="R5">
        <v>1</v>
      </c>
      <c r="S5">
        <v>1</v>
      </c>
      <c r="T5">
        <v>500</v>
      </c>
      <c r="U5">
        <v>20</v>
      </c>
      <c r="V5">
        <v>200</v>
      </c>
      <c r="W5" t="s">
        <v>41</v>
      </c>
      <c r="AA5" s="5"/>
    </row>
    <row r="6" spans="1:27" x14ac:dyDescent="0.4">
      <c r="A6" t="s">
        <v>5</v>
      </c>
      <c r="B6">
        <v>1</v>
      </c>
      <c r="N6" s="4"/>
      <c r="O6" t="s">
        <v>42</v>
      </c>
      <c r="AA6" s="5"/>
    </row>
    <row r="7" spans="1:27" x14ac:dyDescent="0.4">
      <c r="A7" t="s">
        <v>6</v>
      </c>
      <c r="B7">
        <v>15</v>
      </c>
      <c r="C7" t="s">
        <v>7</v>
      </c>
      <c r="N7" s="4"/>
      <c r="AA7" s="5"/>
    </row>
    <row r="8" spans="1:27" x14ac:dyDescent="0.4">
      <c r="A8" t="s">
        <v>8</v>
      </c>
      <c r="B8" t="s">
        <v>9</v>
      </c>
      <c r="N8" s="4" t="s">
        <v>14</v>
      </c>
      <c r="O8" t="s">
        <v>15</v>
      </c>
      <c r="Q8" t="s">
        <v>16</v>
      </c>
      <c r="R8" t="s">
        <v>17</v>
      </c>
      <c r="S8" t="s">
        <v>18</v>
      </c>
      <c r="T8" t="s">
        <v>19</v>
      </c>
      <c r="U8" t="s">
        <v>20</v>
      </c>
      <c r="V8" t="s">
        <v>21</v>
      </c>
      <c r="AA8" s="5"/>
    </row>
    <row r="9" spans="1:27" x14ac:dyDescent="0.4">
      <c r="A9" t="s">
        <v>10</v>
      </c>
      <c r="B9" t="s">
        <v>11</v>
      </c>
      <c r="N9" s="4">
        <v>1</v>
      </c>
      <c r="O9" t="s">
        <v>25</v>
      </c>
      <c r="P9" t="s">
        <v>39</v>
      </c>
      <c r="Q9">
        <v>15</v>
      </c>
      <c r="R9">
        <v>0.15</v>
      </c>
      <c r="S9">
        <v>6</v>
      </c>
      <c r="T9">
        <v>1000</v>
      </c>
      <c r="U9">
        <v>8</v>
      </c>
      <c r="V9">
        <v>1</v>
      </c>
      <c r="AA9" s="5"/>
    </row>
    <row r="10" spans="1:27" x14ac:dyDescent="0.4">
      <c r="A10" t="s">
        <v>12</v>
      </c>
      <c r="B10" t="s">
        <v>13</v>
      </c>
      <c r="N10" s="4">
        <v>1</v>
      </c>
      <c r="O10" t="s">
        <v>25</v>
      </c>
      <c r="P10" t="s">
        <v>27</v>
      </c>
      <c r="Q10">
        <v>15</v>
      </c>
      <c r="R10">
        <v>0.5</v>
      </c>
      <c r="S10">
        <v>1</v>
      </c>
      <c r="T10">
        <v>500</v>
      </c>
      <c r="U10">
        <v>2</v>
      </c>
      <c r="V10">
        <v>50</v>
      </c>
      <c r="W10" t="s">
        <v>43</v>
      </c>
      <c r="AA10" s="5"/>
    </row>
    <row r="11" spans="1:27" x14ac:dyDescent="0.4">
      <c r="N11" s="4"/>
      <c r="O11" t="s">
        <v>44</v>
      </c>
      <c r="AA11" s="5"/>
    </row>
    <row r="12" spans="1:27" x14ac:dyDescent="0.4">
      <c r="N12" s="6"/>
      <c r="O12" s="7" t="s">
        <v>45</v>
      </c>
      <c r="P12" s="7"/>
      <c r="Q12" s="7"/>
      <c r="R12" s="7"/>
      <c r="S12" s="7"/>
      <c r="T12" s="7"/>
      <c r="U12" s="7"/>
      <c r="V12" s="7"/>
      <c r="W12" s="7"/>
      <c r="X12" s="7"/>
      <c r="Y12" s="7"/>
      <c r="Z12" s="7"/>
      <c r="AA12" s="8"/>
    </row>
    <row r="13" spans="1:27" x14ac:dyDescent="0.4">
      <c r="A13" t="s">
        <v>14</v>
      </c>
      <c r="B13" t="s">
        <v>15</v>
      </c>
      <c r="D13" t="s">
        <v>16</v>
      </c>
      <c r="E13" t="s">
        <v>17</v>
      </c>
      <c r="F13" t="s">
        <v>18</v>
      </c>
      <c r="G13" t="s">
        <v>19</v>
      </c>
      <c r="H13" t="s">
        <v>20</v>
      </c>
      <c r="I13" t="s">
        <v>21</v>
      </c>
    </row>
    <row r="14" spans="1:27" x14ac:dyDescent="0.4">
      <c r="A14">
        <v>1</v>
      </c>
      <c r="B14" t="s">
        <v>22</v>
      </c>
      <c r="C14" t="s">
        <v>23</v>
      </c>
      <c r="D14">
        <v>40</v>
      </c>
      <c r="E14">
        <v>0.45</v>
      </c>
      <c r="F14">
        <v>2</v>
      </c>
      <c r="G14">
        <v>36</v>
      </c>
      <c r="H14">
        <v>16</v>
      </c>
      <c r="I14">
        <v>1</v>
      </c>
      <c r="J14" t="s">
        <v>207</v>
      </c>
    </row>
    <row r="15" spans="1:27" x14ac:dyDescent="0.4">
      <c r="A15">
        <v>1</v>
      </c>
      <c r="B15" t="s">
        <v>22</v>
      </c>
      <c r="C15" t="s">
        <v>17</v>
      </c>
      <c r="D15">
        <v>0</v>
      </c>
      <c r="E15">
        <v>1</v>
      </c>
      <c r="F15">
        <v>1</v>
      </c>
      <c r="G15">
        <v>0</v>
      </c>
      <c r="H15">
        <v>16</v>
      </c>
      <c r="I15">
        <v>0</v>
      </c>
      <c r="J15" t="s">
        <v>24</v>
      </c>
    </row>
    <row r="17" spans="1:10" x14ac:dyDescent="0.4">
      <c r="A17">
        <v>2</v>
      </c>
      <c r="B17" t="s">
        <v>22</v>
      </c>
      <c r="C17" t="s">
        <v>23</v>
      </c>
      <c r="D17">
        <v>40</v>
      </c>
      <c r="E17">
        <v>0.4</v>
      </c>
      <c r="F17">
        <v>2</v>
      </c>
      <c r="G17">
        <v>36</v>
      </c>
      <c r="H17">
        <v>16</v>
      </c>
      <c r="I17">
        <v>1</v>
      </c>
      <c r="J17" t="s">
        <v>208</v>
      </c>
    </row>
    <row r="18" spans="1:10" x14ac:dyDescent="0.4">
      <c r="A18">
        <v>2</v>
      </c>
      <c r="B18" t="s">
        <v>22</v>
      </c>
      <c r="C18" t="s">
        <v>17</v>
      </c>
      <c r="D18">
        <v>0</v>
      </c>
      <c r="E18">
        <v>1</v>
      </c>
      <c r="F18">
        <v>1</v>
      </c>
      <c r="G18">
        <v>0</v>
      </c>
      <c r="H18">
        <v>16</v>
      </c>
      <c r="I18">
        <v>0</v>
      </c>
      <c r="J18" t="s">
        <v>24</v>
      </c>
    </row>
    <row r="20" spans="1:10" x14ac:dyDescent="0.4">
      <c r="A20">
        <v>3</v>
      </c>
      <c r="B20" t="s">
        <v>22</v>
      </c>
      <c r="C20" t="s">
        <v>23</v>
      </c>
      <c r="D20">
        <v>40</v>
      </c>
      <c r="E20">
        <v>0.35</v>
      </c>
      <c r="F20">
        <v>3</v>
      </c>
      <c r="G20">
        <v>36</v>
      </c>
      <c r="H20">
        <v>16</v>
      </c>
      <c r="I20">
        <v>1</v>
      </c>
      <c r="J20" t="s">
        <v>208</v>
      </c>
    </row>
    <row r="21" spans="1:10" x14ac:dyDescent="0.4">
      <c r="A21">
        <v>3</v>
      </c>
      <c r="B21" t="s">
        <v>22</v>
      </c>
      <c r="C21" t="s">
        <v>17</v>
      </c>
      <c r="D21">
        <v>0</v>
      </c>
      <c r="E21">
        <v>1</v>
      </c>
      <c r="F21">
        <v>1</v>
      </c>
      <c r="G21">
        <v>0</v>
      </c>
      <c r="H21">
        <v>16</v>
      </c>
      <c r="I21">
        <v>0</v>
      </c>
      <c r="J21" t="s">
        <v>24</v>
      </c>
    </row>
    <row r="23" spans="1:10" x14ac:dyDescent="0.4">
      <c r="A23">
        <v>4</v>
      </c>
      <c r="B23" t="s">
        <v>22</v>
      </c>
      <c r="C23" t="s">
        <v>23</v>
      </c>
      <c r="D23">
        <v>40</v>
      </c>
      <c r="E23">
        <v>0.3</v>
      </c>
      <c r="F23">
        <v>3</v>
      </c>
      <c r="G23">
        <v>36</v>
      </c>
      <c r="H23">
        <v>16</v>
      </c>
      <c r="I23">
        <v>1</v>
      </c>
      <c r="J23" t="s">
        <v>208</v>
      </c>
    </row>
    <row r="24" spans="1:10" x14ac:dyDescent="0.4">
      <c r="A24">
        <v>4</v>
      </c>
      <c r="B24" t="s">
        <v>22</v>
      </c>
      <c r="C24" t="s">
        <v>17</v>
      </c>
      <c r="D24">
        <v>0</v>
      </c>
      <c r="E24">
        <v>1</v>
      </c>
      <c r="F24">
        <v>1</v>
      </c>
      <c r="G24">
        <v>0</v>
      </c>
      <c r="H24">
        <v>16</v>
      </c>
      <c r="I24">
        <v>0</v>
      </c>
      <c r="J24" t="s">
        <v>24</v>
      </c>
    </row>
    <row r="26" spans="1:10" x14ac:dyDescent="0.4">
      <c r="A26">
        <v>5</v>
      </c>
      <c r="B26" t="s">
        <v>22</v>
      </c>
      <c r="C26" t="s">
        <v>23</v>
      </c>
      <c r="D26">
        <v>40</v>
      </c>
      <c r="E26">
        <v>0.25</v>
      </c>
      <c r="F26">
        <v>4</v>
      </c>
      <c r="G26">
        <v>36</v>
      </c>
      <c r="H26">
        <v>16</v>
      </c>
      <c r="I26">
        <v>1</v>
      </c>
      <c r="J26" t="s">
        <v>208</v>
      </c>
    </row>
    <row r="27" spans="1:10" x14ac:dyDescent="0.4">
      <c r="A27">
        <v>5</v>
      </c>
      <c r="B27" t="s">
        <v>22</v>
      </c>
      <c r="C27" t="s">
        <v>17</v>
      </c>
      <c r="D27">
        <v>0</v>
      </c>
      <c r="E27">
        <v>1</v>
      </c>
      <c r="F27">
        <v>1</v>
      </c>
      <c r="G27">
        <v>0</v>
      </c>
      <c r="H27">
        <v>16</v>
      </c>
      <c r="I27">
        <v>0</v>
      </c>
      <c r="J27" t="s">
        <v>24</v>
      </c>
    </row>
    <row r="29" spans="1:10" x14ac:dyDescent="0.4">
      <c r="A29">
        <v>6</v>
      </c>
      <c r="B29" t="s">
        <v>22</v>
      </c>
      <c r="C29" t="s">
        <v>23</v>
      </c>
      <c r="D29">
        <v>40</v>
      </c>
      <c r="E29">
        <v>0.2</v>
      </c>
      <c r="F29">
        <v>4</v>
      </c>
      <c r="G29">
        <v>36</v>
      </c>
      <c r="H29">
        <v>16</v>
      </c>
      <c r="I29">
        <v>1</v>
      </c>
      <c r="J29" t="s">
        <v>208</v>
      </c>
    </row>
    <row r="30" spans="1:10" x14ac:dyDescent="0.4">
      <c r="A30">
        <v>6</v>
      </c>
      <c r="B30" t="s">
        <v>22</v>
      </c>
      <c r="C30" t="s">
        <v>17</v>
      </c>
      <c r="D30">
        <v>0</v>
      </c>
      <c r="E30">
        <v>1</v>
      </c>
      <c r="F30">
        <v>1</v>
      </c>
      <c r="G30">
        <v>0</v>
      </c>
      <c r="H30">
        <v>16</v>
      </c>
      <c r="I30">
        <v>0</v>
      </c>
      <c r="J30" t="s">
        <v>24</v>
      </c>
    </row>
    <row r="32" spans="1:10" x14ac:dyDescent="0.4">
      <c r="A32">
        <v>7</v>
      </c>
      <c r="B32" t="s">
        <v>22</v>
      </c>
      <c r="C32" t="s">
        <v>23</v>
      </c>
      <c r="D32">
        <v>40</v>
      </c>
      <c r="E32">
        <v>0.15</v>
      </c>
      <c r="F32">
        <v>5</v>
      </c>
      <c r="G32">
        <v>36</v>
      </c>
      <c r="H32">
        <v>16</v>
      </c>
      <c r="I32">
        <v>1</v>
      </c>
      <c r="J32" t="s">
        <v>208</v>
      </c>
    </row>
    <row r="33" spans="1:10" x14ac:dyDescent="0.4">
      <c r="A33">
        <v>7</v>
      </c>
      <c r="B33" t="s">
        <v>22</v>
      </c>
      <c r="C33" t="s">
        <v>17</v>
      </c>
      <c r="D33">
        <v>0</v>
      </c>
      <c r="E33">
        <v>1</v>
      </c>
      <c r="F33">
        <v>1</v>
      </c>
      <c r="G33">
        <v>0</v>
      </c>
      <c r="H33">
        <v>16</v>
      </c>
      <c r="I33">
        <v>0</v>
      </c>
      <c r="J33" t="s">
        <v>24</v>
      </c>
    </row>
    <row r="35" spans="1:10" x14ac:dyDescent="0.4">
      <c r="B35" t="s">
        <v>15</v>
      </c>
      <c r="D35" t="s">
        <v>16</v>
      </c>
      <c r="E35" t="s">
        <v>17</v>
      </c>
      <c r="F35" t="s">
        <v>18</v>
      </c>
      <c r="G35" t="s">
        <v>19</v>
      </c>
      <c r="H35" t="s">
        <v>20</v>
      </c>
      <c r="I35" t="s">
        <v>21</v>
      </c>
    </row>
    <row r="36" spans="1:10" x14ac:dyDescent="0.4">
      <c r="A36">
        <v>1</v>
      </c>
      <c r="B36" t="s">
        <v>25</v>
      </c>
      <c r="C36" t="s">
        <v>23</v>
      </c>
      <c r="D36">
        <v>30</v>
      </c>
      <c r="E36">
        <v>0.45</v>
      </c>
      <c r="F36">
        <v>2</v>
      </c>
      <c r="G36">
        <v>36</v>
      </c>
      <c r="H36">
        <v>7</v>
      </c>
      <c r="I36">
        <v>5</v>
      </c>
      <c r="J36" t="s">
        <v>26</v>
      </c>
    </row>
    <row r="37" spans="1:10" x14ac:dyDescent="0.4">
      <c r="A37">
        <v>1</v>
      </c>
      <c r="B37" t="s">
        <v>25</v>
      </c>
      <c r="C37" t="s">
        <v>27</v>
      </c>
      <c r="D37">
        <v>15</v>
      </c>
      <c r="E37">
        <v>1</v>
      </c>
      <c r="F37">
        <v>1</v>
      </c>
      <c r="G37">
        <v>30</v>
      </c>
      <c r="H37">
        <v>1.5</v>
      </c>
      <c r="I37">
        <v>40</v>
      </c>
      <c r="J37" t="s">
        <v>28</v>
      </c>
    </row>
    <row r="39" spans="1:10" x14ac:dyDescent="0.4">
      <c r="A39">
        <v>2</v>
      </c>
      <c r="B39" t="s">
        <v>25</v>
      </c>
      <c r="C39" t="s">
        <v>23</v>
      </c>
      <c r="D39">
        <v>30</v>
      </c>
      <c r="E39">
        <v>0.4</v>
      </c>
      <c r="F39">
        <v>2</v>
      </c>
      <c r="G39">
        <v>36</v>
      </c>
      <c r="H39">
        <v>7</v>
      </c>
      <c r="I39">
        <v>5</v>
      </c>
      <c r="J39" t="s">
        <v>29</v>
      </c>
    </row>
    <row r="40" spans="1:10" x14ac:dyDescent="0.4">
      <c r="A40">
        <v>2</v>
      </c>
      <c r="B40" t="s">
        <v>25</v>
      </c>
      <c r="C40" t="s">
        <v>27</v>
      </c>
      <c r="D40">
        <v>15</v>
      </c>
      <c r="E40">
        <v>1</v>
      </c>
      <c r="F40">
        <v>1</v>
      </c>
      <c r="G40">
        <v>30</v>
      </c>
      <c r="H40">
        <v>1.5</v>
      </c>
      <c r="I40">
        <v>40</v>
      </c>
      <c r="J40" t="s">
        <v>28</v>
      </c>
    </row>
    <row r="42" spans="1:10" x14ac:dyDescent="0.4">
      <c r="A42">
        <v>3</v>
      </c>
      <c r="B42" t="s">
        <v>25</v>
      </c>
      <c r="C42" t="s">
        <v>23</v>
      </c>
      <c r="D42">
        <v>30</v>
      </c>
      <c r="E42">
        <v>0.35</v>
      </c>
      <c r="F42">
        <v>2</v>
      </c>
      <c r="G42">
        <v>36</v>
      </c>
      <c r="H42">
        <v>7</v>
      </c>
      <c r="I42">
        <v>5</v>
      </c>
      <c r="J42" t="s">
        <v>29</v>
      </c>
    </row>
    <row r="43" spans="1:10" x14ac:dyDescent="0.4">
      <c r="A43">
        <v>3</v>
      </c>
      <c r="B43" t="s">
        <v>25</v>
      </c>
      <c r="C43" t="s">
        <v>27</v>
      </c>
      <c r="D43">
        <v>15</v>
      </c>
      <c r="E43">
        <v>1</v>
      </c>
      <c r="F43">
        <v>1</v>
      </c>
      <c r="G43">
        <v>30</v>
      </c>
      <c r="H43">
        <v>1.5</v>
      </c>
      <c r="I43">
        <v>40</v>
      </c>
      <c r="J43" t="s">
        <v>28</v>
      </c>
    </row>
    <row r="45" spans="1:10" x14ac:dyDescent="0.4">
      <c r="A45">
        <v>4</v>
      </c>
      <c r="B45" t="s">
        <v>25</v>
      </c>
      <c r="C45" t="s">
        <v>23</v>
      </c>
      <c r="D45">
        <v>30</v>
      </c>
      <c r="E45">
        <v>0.3</v>
      </c>
      <c r="F45">
        <v>3</v>
      </c>
      <c r="G45">
        <v>36</v>
      </c>
      <c r="H45">
        <v>7</v>
      </c>
      <c r="I45">
        <v>5</v>
      </c>
      <c r="J45" t="s">
        <v>30</v>
      </c>
    </row>
    <row r="46" spans="1:10" x14ac:dyDescent="0.4">
      <c r="A46">
        <v>4</v>
      </c>
      <c r="B46" t="s">
        <v>25</v>
      </c>
      <c r="C46" t="s">
        <v>27</v>
      </c>
      <c r="D46">
        <v>15</v>
      </c>
      <c r="E46">
        <v>1</v>
      </c>
      <c r="F46">
        <v>1</v>
      </c>
      <c r="G46">
        <v>30</v>
      </c>
      <c r="H46">
        <v>1.5</v>
      </c>
      <c r="I46">
        <v>40</v>
      </c>
      <c r="J46" t="s">
        <v>28</v>
      </c>
    </row>
    <row r="48" spans="1:10" x14ac:dyDescent="0.4">
      <c r="A48">
        <v>5</v>
      </c>
      <c r="B48" t="s">
        <v>25</v>
      </c>
      <c r="C48" t="s">
        <v>23</v>
      </c>
      <c r="D48">
        <v>30</v>
      </c>
      <c r="E48">
        <v>0.25</v>
      </c>
      <c r="F48">
        <v>3</v>
      </c>
      <c r="G48">
        <v>36</v>
      </c>
      <c r="H48">
        <v>7</v>
      </c>
      <c r="I48">
        <v>5</v>
      </c>
      <c r="J48" t="s">
        <v>30</v>
      </c>
    </row>
    <row r="49" spans="1:10" x14ac:dyDescent="0.4">
      <c r="A49">
        <v>5</v>
      </c>
      <c r="B49" t="s">
        <v>25</v>
      </c>
      <c r="C49" t="s">
        <v>27</v>
      </c>
      <c r="D49">
        <v>15</v>
      </c>
      <c r="E49">
        <v>1</v>
      </c>
      <c r="F49">
        <v>1</v>
      </c>
      <c r="G49">
        <v>30</v>
      </c>
      <c r="H49">
        <v>1.5</v>
      </c>
      <c r="I49">
        <v>40</v>
      </c>
      <c r="J49" t="s">
        <v>28</v>
      </c>
    </row>
    <row r="51" spans="1:10" x14ac:dyDescent="0.4">
      <c r="A51">
        <v>6</v>
      </c>
      <c r="B51" t="s">
        <v>25</v>
      </c>
      <c r="C51" t="s">
        <v>23</v>
      </c>
      <c r="D51">
        <v>30</v>
      </c>
      <c r="E51">
        <v>0.2</v>
      </c>
      <c r="F51">
        <v>3</v>
      </c>
      <c r="G51">
        <v>36</v>
      </c>
      <c r="H51">
        <v>7</v>
      </c>
      <c r="I51">
        <v>5</v>
      </c>
      <c r="J51" t="s">
        <v>30</v>
      </c>
    </row>
    <row r="52" spans="1:10" x14ac:dyDescent="0.4">
      <c r="A52">
        <v>6</v>
      </c>
      <c r="B52" t="s">
        <v>25</v>
      </c>
      <c r="C52" t="s">
        <v>27</v>
      </c>
      <c r="D52">
        <v>15</v>
      </c>
      <c r="E52">
        <v>1</v>
      </c>
      <c r="F52">
        <v>1</v>
      </c>
      <c r="G52">
        <v>30</v>
      </c>
      <c r="H52">
        <v>1.5</v>
      </c>
      <c r="I52">
        <v>40</v>
      </c>
      <c r="J52" t="s">
        <v>28</v>
      </c>
    </row>
    <row r="54" spans="1:10" x14ac:dyDescent="0.4">
      <c r="A54">
        <v>7</v>
      </c>
      <c r="B54" t="s">
        <v>25</v>
      </c>
      <c r="C54" t="s">
        <v>23</v>
      </c>
      <c r="D54">
        <v>30</v>
      </c>
      <c r="E54">
        <v>0.15</v>
      </c>
      <c r="F54">
        <v>4</v>
      </c>
      <c r="G54">
        <v>36</v>
      </c>
      <c r="H54">
        <v>7</v>
      </c>
      <c r="I54">
        <v>5</v>
      </c>
      <c r="J54" t="s">
        <v>31</v>
      </c>
    </row>
    <row r="55" spans="1:10" x14ac:dyDescent="0.4">
      <c r="A55">
        <v>7</v>
      </c>
      <c r="B55" t="s">
        <v>25</v>
      </c>
      <c r="C55" t="s">
        <v>27</v>
      </c>
      <c r="D55">
        <v>15</v>
      </c>
      <c r="E55">
        <v>1</v>
      </c>
      <c r="F55">
        <v>1</v>
      </c>
      <c r="G55">
        <v>30</v>
      </c>
      <c r="H55">
        <v>1.5</v>
      </c>
      <c r="I55">
        <v>40</v>
      </c>
      <c r="J55" t="s">
        <v>28</v>
      </c>
    </row>
    <row r="57" spans="1:10" x14ac:dyDescent="0.4">
      <c r="A57" t="s">
        <v>32</v>
      </c>
    </row>
    <row r="58" spans="1:10" x14ac:dyDescent="0.4">
      <c r="A58" t="s">
        <v>33</v>
      </c>
    </row>
    <row r="59" spans="1:10" x14ac:dyDescent="0.4">
      <c r="A59" t="s">
        <v>624</v>
      </c>
    </row>
    <row r="60" spans="1:10" x14ac:dyDescent="0.4">
      <c r="A60" t="s">
        <v>625</v>
      </c>
    </row>
    <row r="61" spans="1:10" x14ac:dyDescent="0.4">
      <c r="A61" t="s">
        <v>626</v>
      </c>
      <c r="E61" t="s">
        <v>627</v>
      </c>
    </row>
    <row r="63" spans="1:10" x14ac:dyDescent="0.4">
      <c r="A63" t="s">
        <v>34</v>
      </c>
    </row>
    <row r="64" spans="1:10" x14ac:dyDescent="0.4">
      <c r="A64" t="s">
        <v>628</v>
      </c>
    </row>
    <row r="65" spans="1:6" x14ac:dyDescent="0.4">
      <c r="A65" t="s">
        <v>626</v>
      </c>
      <c r="E65" t="s">
        <v>627</v>
      </c>
    </row>
    <row r="67" spans="1:6" x14ac:dyDescent="0.4">
      <c r="A67" t="s">
        <v>35</v>
      </c>
    </row>
    <row r="68" spans="1:6" x14ac:dyDescent="0.4">
      <c r="A68" t="s">
        <v>629</v>
      </c>
      <c r="E68" t="s">
        <v>248</v>
      </c>
      <c r="F68" t="s">
        <v>623</v>
      </c>
    </row>
    <row r="69" spans="1:6" x14ac:dyDescent="0.4">
      <c r="A69" t="s">
        <v>630</v>
      </c>
    </row>
    <row r="71" spans="1:6" x14ac:dyDescent="0.4">
      <c r="A71" s="16"/>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C4FB2-6D08-4B07-803F-CE542E141D53}">
  <dimension ref="A1:AC102"/>
  <sheetViews>
    <sheetView topLeftCell="A81" workbookViewId="0">
      <selection activeCell="I101" sqref="I101"/>
    </sheetView>
  </sheetViews>
  <sheetFormatPr defaultRowHeight="18.75" x14ac:dyDescent="0.4"/>
  <sheetData>
    <row r="1" spans="1:29" x14ac:dyDescent="0.4">
      <c r="A1" t="s">
        <v>49</v>
      </c>
      <c r="P1" t="s">
        <v>65</v>
      </c>
      <c r="Z1" t="s">
        <v>90</v>
      </c>
    </row>
    <row r="2" spans="1:29" x14ac:dyDescent="0.4">
      <c r="A2" t="s">
        <v>1</v>
      </c>
      <c r="B2">
        <v>1350</v>
      </c>
      <c r="C2" t="s">
        <v>2</v>
      </c>
      <c r="P2" t="s">
        <v>14</v>
      </c>
      <c r="Z2" s="9">
        <v>1</v>
      </c>
      <c r="AA2" s="9">
        <v>125</v>
      </c>
      <c r="AB2" t="s">
        <v>91</v>
      </c>
    </row>
    <row r="3" spans="1:29" x14ac:dyDescent="0.4">
      <c r="A3" t="s">
        <v>3</v>
      </c>
      <c r="B3">
        <v>650</v>
      </c>
      <c r="C3" t="s">
        <v>2</v>
      </c>
      <c r="P3" t="s">
        <v>77</v>
      </c>
      <c r="Z3" s="9">
        <v>2</v>
      </c>
      <c r="AA3" s="9">
        <v>250</v>
      </c>
    </row>
    <row r="4" spans="1:29" x14ac:dyDescent="0.4">
      <c r="A4" t="s">
        <v>4</v>
      </c>
      <c r="B4">
        <v>100</v>
      </c>
      <c r="C4" t="s">
        <v>2</v>
      </c>
      <c r="P4" t="s">
        <v>78</v>
      </c>
      <c r="Q4" t="s">
        <v>79</v>
      </c>
      <c r="Z4" s="9">
        <v>3</v>
      </c>
      <c r="AA4" s="9">
        <v>500</v>
      </c>
      <c r="AC4" t="s">
        <v>92</v>
      </c>
    </row>
    <row r="5" spans="1:29" x14ac:dyDescent="0.4">
      <c r="A5" t="s">
        <v>169</v>
      </c>
      <c r="B5">
        <v>55</v>
      </c>
      <c r="D5" t="s">
        <v>174</v>
      </c>
      <c r="E5" t="s">
        <v>178</v>
      </c>
      <c r="P5" t="s">
        <v>80</v>
      </c>
      <c r="Q5" t="s">
        <v>81</v>
      </c>
      <c r="Z5" s="9">
        <v>4</v>
      </c>
      <c r="AA5" s="9">
        <v>1000</v>
      </c>
      <c r="AC5" t="s">
        <v>93</v>
      </c>
    </row>
    <row r="6" spans="1:29" x14ac:dyDescent="0.4">
      <c r="A6" t="s">
        <v>116</v>
      </c>
      <c r="Z6" s="9">
        <v>5</v>
      </c>
      <c r="AA6" s="9">
        <v>2000</v>
      </c>
    </row>
    <row r="7" spans="1:29" x14ac:dyDescent="0.4">
      <c r="P7" t="s">
        <v>69</v>
      </c>
      <c r="R7" t="s">
        <v>72</v>
      </c>
      <c r="Z7" s="9">
        <v>6</v>
      </c>
      <c r="AA7" s="9">
        <v>4000</v>
      </c>
    </row>
    <row r="8" spans="1:29" x14ac:dyDescent="0.4">
      <c r="P8" t="s">
        <v>70</v>
      </c>
      <c r="R8" t="s">
        <v>73</v>
      </c>
      <c r="Z8" s="9">
        <v>7</v>
      </c>
      <c r="AA8" s="9">
        <v>8000</v>
      </c>
    </row>
    <row r="9" spans="1:29" x14ac:dyDescent="0.4">
      <c r="P9" t="s">
        <v>71</v>
      </c>
      <c r="R9" t="s">
        <v>74</v>
      </c>
      <c r="Z9" s="9">
        <v>8</v>
      </c>
      <c r="AA9" s="9">
        <v>16000</v>
      </c>
    </row>
    <row r="10" spans="1:29" x14ac:dyDescent="0.4">
      <c r="Z10" s="9">
        <v>9</v>
      </c>
      <c r="AA10" s="9">
        <v>32000</v>
      </c>
    </row>
    <row r="11" spans="1:29" x14ac:dyDescent="0.4">
      <c r="A11" t="s">
        <v>5</v>
      </c>
      <c r="B11">
        <v>1</v>
      </c>
      <c r="P11" t="s">
        <v>75</v>
      </c>
      <c r="Z11" s="9">
        <v>10</v>
      </c>
      <c r="AA11" s="9">
        <v>64000</v>
      </c>
    </row>
    <row r="12" spans="1:29" x14ac:dyDescent="0.4">
      <c r="A12" t="s">
        <v>6</v>
      </c>
      <c r="B12">
        <v>12</v>
      </c>
      <c r="C12" t="s">
        <v>137</v>
      </c>
      <c r="P12" t="s">
        <v>76</v>
      </c>
      <c r="Z12" s="9">
        <v>11</v>
      </c>
      <c r="AA12" s="9">
        <v>128000</v>
      </c>
    </row>
    <row r="13" spans="1:29" x14ac:dyDescent="0.4">
      <c r="A13" t="s">
        <v>8</v>
      </c>
      <c r="B13" t="s">
        <v>117</v>
      </c>
      <c r="Z13" s="9">
        <v>12</v>
      </c>
      <c r="AA13" s="9">
        <v>256000</v>
      </c>
    </row>
    <row r="14" spans="1:29" x14ac:dyDescent="0.4">
      <c r="A14" t="s">
        <v>10</v>
      </c>
      <c r="B14" t="s">
        <v>118</v>
      </c>
      <c r="P14" s="9" t="s">
        <v>63</v>
      </c>
      <c r="Q14" s="9" t="s">
        <v>64</v>
      </c>
      <c r="S14" t="s">
        <v>66</v>
      </c>
      <c r="Z14" s="9">
        <v>13</v>
      </c>
      <c r="AA14" s="9">
        <v>500000</v>
      </c>
    </row>
    <row r="15" spans="1:29" x14ac:dyDescent="0.4">
      <c r="A15" t="s">
        <v>12</v>
      </c>
      <c r="B15" t="s">
        <v>119</v>
      </c>
      <c r="P15" s="9">
        <v>0</v>
      </c>
      <c r="Q15" s="9">
        <v>100</v>
      </c>
      <c r="S15" t="s">
        <v>55</v>
      </c>
    </row>
    <row r="16" spans="1:29" x14ac:dyDescent="0.4">
      <c r="P16" s="9">
        <v>1</v>
      </c>
      <c r="Q16" s="9">
        <v>200</v>
      </c>
      <c r="S16" t="s">
        <v>56</v>
      </c>
    </row>
    <row r="17" spans="1:19" x14ac:dyDescent="0.4">
      <c r="B17" t="s">
        <v>131</v>
      </c>
      <c r="P17" s="9">
        <v>2</v>
      </c>
      <c r="Q17" s="9">
        <v>300</v>
      </c>
      <c r="S17" t="s">
        <v>57</v>
      </c>
    </row>
    <row r="18" spans="1:19" x14ac:dyDescent="0.4">
      <c r="B18" t="s">
        <v>130</v>
      </c>
      <c r="P18" s="9"/>
      <c r="Q18" s="9"/>
    </row>
    <row r="19" spans="1:19" x14ac:dyDescent="0.4">
      <c r="B19" t="s">
        <v>132</v>
      </c>
      <c r="P19" s="9"/>
      <c r="Q19" s="9"/>
    </row>
    <row r="20" spans="1:19" x14ac:dyDescent="0.4">
      <c r="A20" t="s">
        <v>121</v>
      </c>
      <c r="B20" t="s">
        <v>122</v>
      </c>
      <c r="P20" s="9">
        <v>3</v>
      </c>
      <c r="Q20" s="9">
        <v>400</v>
      </c>
      <c r="S20" t="s">
        <v>58</v>
      </c>
    </row>
    <row r="21" spans="1:19" x14ac:dyDescent="0.4">
      <c r="A21" t="s">
        <v>14</v>
      </c>
      <c r="B21" t="s">
        <v>15</v>
      </c>
      <c r="D21" t="s">
        <v>16</v>
      </c>
      <c r="E21" t="s">
        <v>17</v>
      </c>
      <c r="F21" t="s">
        <v>18</v>
      </c>
      <c r="G21" t="s">
        <v>19</v>
      </c>
      <c r="H21" t="s">
        <v>20</v>
      </c>
      <c r="I21" t="s">
        <v>21</v>
      </c>
      <c r="P21" s="9">
        <v>4</v>
      </c>
      <c r="Q21" s="9">
        <v>500</v>
      </c>
      <c r="S21" t="s">
        <v>59</v>
      </c>
    </row>
    <row r="22" spans="1:19" x14ac:dyDescent="0.4">
      <c r="A22">
        <v>1</v>
      </c>
      <c r="B22" t="s">
        <v>22</v>
      </c>
      <c r="C22" t="s">
        <v>120</v>
      </c>
      <c r="D22">
        <v>50</v>
      </c>
      <c r="E22">
        <v>0.3</v>
      </c>
      <c r="F22">
        <v>2</v>
      </c>
      <c r="G22">
        <v>30</v>
      </c>
      <c r="H22">
        <v>15</v>
      </c>
      <c r="I22">
        <v>30</v>
      </c>
      <c r="J22" t="s">
        <v>113</v>
      </c>
      <c r="P22" s="9">
        <v>5</v>
      </c>
      <c r="Q22" s="9">
        <v>600</v>
      </c>
      <c r="S22" t="s">
        <v>60</v>
      </c>
    </row>
    <row r="23" spans="1:19" x14ac:dyDescent="0.4">
      <c r="A23">
        <v>1</v>
      </c>
      <c r="B23" t="s">
        <v>22</v>
      </c>
      <c r="C23" t="s">
        <v>17</v>
      </c>
      <c r="D23">
        <v>0</v>
      </c>
      <c r="E23">
        <v>0.6</v>
      </c>
      <c r="F23">
        <v>1</v>
      </c>
      <c r="G23">
        <v>0</v>
      </c>
      <c r="H23">
        <v>0</v>
      </c>
      <c r="I23">
        <v>0</v>
      </c>
      <c r="J23" t="s">
        <v>124</v>
      </c>
      <c r="P23" s="9">
        <v>6</v>
      </c>
      <c r="Q23" s="9">
        <v>700</v>
      </c>
      <c r="S23" t="s">
        <v>61</v>
      </c>
    </row>
    <row r="24" spans="1:19" x14ac:dyDescent="0.4">
      <c r="P24" s="9">
        <v>7</v>
      </c>
      <c r="Q24" s="9">
        <v>800</v>
      </c>
      <c r="S24" t="s">
        <v>62</v>
      </c>
    </row>
    <row r="25" spans="1:19" x14ac:dyDescent="0.4">
      <c r="B25" t="s">
        <v>123</v>
      </c>
      <c r="P25" s="9">
        <v>8</v>
      </c>
      <c r="Q25" s="9">
        <v>900</v>
      </c>
    </row>
    <row r="26" spans="1:19" x14ac:dyDescent="0.4">
      <c r="P26" s="9">
        <v>9</v>
      </c>
      <c r="Q26" s="9">
        <v>1000</v>
      </c>
    </row>
    <row r="27" spans="1:19" x14ac:dyDescent="0.4">
      <c r="A27" t="s">
        <v>14</v>
      </c>
      <c r="B27" t="s">
        <v>15</v>
      </c>
      <c r="D27" t="s">
        <v>16</v>
      </c>
      <c r="E27" t="s">
        <v>17</v>
      </c>
      <c r="F27" t="s">
        <v>18</v>
      </c>
      <c r="G27" t="s">
        <v>19</v>
      </c>
      <c r="H27" t="s">
        <v>20</v>
      </c>
      <c r="I27" t="s">
        <v>21</v>
      </c>
      <c r="P27" s="9">
        <v>10</v>
      </c>
      <c r="Q27" s="9">
        <v>1100</v>
      </c>
    </row>
    <row r="28" spans="1:19" x14ac:dyDescent="0.4">
      <c r="A28">
        <v>1</v>
      </c>
      <c r="B28" t="s">
        <v>25</v>
      </c>
      <c r="C28" t="s">
        <v>125</v>
      </c>
      <c r="D28">
        <v>100</v>
      </c>
      <c r="E28">
        <v>0.3</v>
      </c>
      <c r="F28">
        <v>2</v>
      </c>
      <c r="G28">
        <v>30</v>
      </c>
      <c r="H28">
        <v>4</v>
      </c>
      <c r="I28">
        <v>10</v>
      </c>
      <c r="J28" t="s">
        <v>126</v>
      </c>
      <c r="P28" s="9">
        <v>11</v>
      </c>
      <c r="Q28" s="9">
        <v>1200</v>
      </c>
    </row>
    <row r="29" spans="1:19" x14ac:dyDescent="0.4">
      <c r="A29">
        <v>1</v>
      </c>
      <c r="B29" t="s">
        <v>25</v>
      </c>
      <c r="C29" t="s">
        <v>128</v>
      </c>
      <c r="D29">
        <v>100</v>
      </c>
      <c r="E29">
        <v>0.6</v>
      </c>
      <c r="F29">
        <v>1</v>
      </c>
      <c r="G29">
        <v>30</v>
      </c>
      <c r="H29">
        <v>6</v>
      </c>
      <c r="I29">
        <v>200</v>
      </c>
      <c r="J29" t="s">
        <v>127</v>
      </c>
      <c r="P29" s="9">
        <v>12</v>
      </c>
      <c r="Q29" s="9">
        <v>1300</v>
      </c>
    </row>
    <row r="31" spans="1:19" x14ac:dyDescent="0.4">
      <c r="B31" t="s">
        <v>129</v>
      </c>
      <c r="P31" t="s">
        <v>82</v>
      </c>
    </row>
    <row r="32" spans="1:19" x14ac:dyDescent="0.4">
      <c r="P32" t="s">
        <v>83</v>
      </c>
      <c r="R32" t="s">
        <v>84</v>
      </c>
    </row>
    <row r="33" spans="1:23" x14ac:dyDescent="0.4">
      <c r="R33" t="s">
        <v>94</v>
      </c>
    </row>
    <row r="34" spans="1:23" x14ac:dyDescent="0.4">
      <c r="R34" s="9" t="s">
        <v>14</v>
      </c>
      <c r="S34" s="9">
        <v>1</v>
      </c>
      <c r="T34" s="9">
        <v>4</v>
      </c>
      <c r="U34" s="9">
        <v>8</v>
      </c>
      <c r="V34" s="9">
        <v>13</v>
      </c>
      <c r="W34" s="9">
        <v>19</v>
      </c>
    </row>
    <row r="35" spans="1:23" x14ac:dyDescent="0.4">
      <c r="A35" t="s">
        <v>14</v>
      </c>
      <c r="B35" t="s">
        <v>15</v>
      </c>
      <c r="D35" t="s">
        <v>16</v>
      </c>
      <c r="E35" t="s">
        <v>17</v>
      </c>
      <c r="F35" t="s">
        <v>18</v>
      </c>
      <c r="G35" t="s">
        <v>19</v>
      </c>
      <c r="H35" t="s">
        <v>20</v>
      </c>
      <c r="I35" t="s">
        <v>21</v>
      </c>
      <c r="N35" t="s">
        <v>135</v>
      </c>
      <c r="R35" s="9" t="s">
        <v>95</v>
      </c>
      <c r="S35" s="9">
        <v>1</v>
      </c>
      <c r="T35" s="9">
        <v>2</v>
      </c>
      <c r="U35" s="9">
        <v>3</v>
      </c>
      <c r="V35" s="9">
        <v>4</v>
      </c>
      <c r="W35" s="9">
        <v>5</v>
      </c>
    </row>
    <row r="36" spans="1:23" x14ac:dyDescent="0.4">
      <c r="A36">
        <v>1</v>
      </c>
      <c r="B36" t="s">
        <v>22</v>
      </c>
      <c r="C36" t="s">
        <v>120</v>
      </c>
      <c r="D36">
        <v>50</v>
      </c>
      <c r="E36">
        <v>0.3</v>
      </c>
      <c r="F36">
        <v>2</v>
      </c>
      <c r="G36">
        <v>25</v>
      </c>
      <c r="H36">
        <v>9</v>
      </c>
      <c r="I36">
        <v>30</v>
      </c>
      <c r="N36">
        <f>(1/E36)*D36</f>
        <v>166.66666666666669</v>
      </c>
    </row>
    <row r="37" spans="1:23" x14ac:dyDescent="0.4">
      <c r="A37">
        <v>1</v>
      </c>
      <c r="B37" t="s">
        <v>22</v>
      </c>
      <c r="C37" t="s">
        <v>17</v>
      </c>
      <c r="D37">
        <v>0</v>
      </c>
      <c r="E37">
        <v>0.6</v>
      </c>
      <c r="F37">
        <v>1</v>
      </c>
      <c r="G37">
        <v>0</v>
      </c>
      <c r="H37">
        <v>0</v>
      </c>
      <c r="I37">
        <v>0</v>
      </c>
      <c r="P37" t="s">
        <v>98</v>
      </c>
      <c r="S37" t="s">
        <v>102</v>
      </c>
    </row>
    <row r="38" spans="1:23" x14ac:dyDescent="0.4">
      <c r="P38" t="s">
        <v>99</v>
      </c>
      <c r="S38" t="s">
        <v>103</v>
      </c>
    </row>
    <row r="39" spans="1:23" x14ac:dyDescent="0.4">
      <c r="A39">
        <v>2</v>
      </c>
      <c r="B39" t="s">
        <v>22</v>
      </c>
      <c r="C39" t="s">
        <v>120</v>
      </c>
      <c r="D39">
        <v>50</v>
      </c>
      <c r="E39">
        <v>0.3</v>
      </c>
      <c r="F39">
        <v>2</v>
      </c>
      <c r="G39">
        <v>25</v>
      </c>
      <c r="H39">
        <v>9</v>
      </c>
      <c r="I39">
        <v>30</v>
      </c>
      <c r="N39">
        <f>(1/E39)*D39</f>
        <v>166.66666666666669</v>
      </c>
      <c r="Q39" t="s">
        <v>100</v>
      </c>
    </row>
    <row r="40" spans="1:23" x14ac:dyDescent="0.4">
      <c r="A40">
        <v>2</v>
      </c>
      <c r="B40" t="s">
        <v>22</v>
      </c>
      <c r="C40" t="s">
        <v>17</v>
      </c>
      <c r="D40">
        <v>0</v>
      </c>
      <c r="E40">
        <v>0.6</v>
      </c>
      <c r="F40">
        <v>1</v>
      </c>
      <c r="G40">
        <v>0</v>
      </c>
      <c r="H40">
        <v>0</v>
      </c>
      <c r="I40">
        <v>0</v>
      </c>
      <c r="Q40" t="s">
        <v>101</v>
      </c>
    </row>
    <row r="42" spans="1:23" x14ac:dyDescent="0.4">
      <c r="A42">
        <v>3</v>
      </c>
      <c r="B42" t="s">
        <v>22</v>
      </c>
      <c r="C42" t="s">
        <v>120</v>
      </c>
      <c r="D42">
        <v>50</v>
      </c>
      <c r="E42">
        <v>0.3</v>
      </c>
      <c r="F42">
        <v>2</v>
      </c>
      <c r="G42">
        <v>25</v>
      </c>
      <c r="H42">
        <v>9</v>
      </c>
      <c r="I42">
        <v>30</v>
      </c>
      <c r="N42">
        <f>(1/E42)*D42</f>
        <v>166.66666666666669</v>
      </c>
      <c r="P42" t="s">
        <v>104</v>
      </c>
      <c r="S42" t="s">
        <v>105</v>
      </c>
    </row>
    <row r="43" spans="1:23" x14ac:dyDescent="0.4">
      <c r="A43">
        <v>3</v>
      </c>
      <c r="B43" t="s">
        <v>22</v>
      </c>
      <c r="C43" t="s">
        <v>17</v>
      </c>
      <c r="D43">
        <v>0</v>
      </c>
      <c r="E43">
        <v>0.6</v>
      </c>
      <c r="F43">
        <v>1</v>
      </c>
      <c r="G43">
        <v>0</v>
      </c>
      <c r="H43">
        <v>0</v>
      </c>
      <c r="I43">
        <v>0</v>
      </c>
      <c r="Q43" t="s">
        <v>106</v>
      </c>
    </row>
    <row r="45" spans="1:23" x14ac:dyDescent="0.4">
      <c r="A45">
        <v>4</v>
      </c>
      <c r="B45" t="s">
        <v>22</v>
      </c>
      <c r="C45" t="s">
        <v>120</v>
      </c>
      <c r="D45">
        <v>50</v>
      </c>
      <c r="E45">
        <v>0.2</v>
      </c>
      <c r="F45">
        <v>3</v>
      </c>
      <c r="G45">
        <v>25</v>
      </c>
      <c r="H45">
        <v>10</v>
      </c>
      <c r="I45">
        <v>20</v>
      </c>
      <c r="N45">
        <f>(1/E45)*D45</f>
        <v>250</v>
      </c>
    </row>
    <row r="46" spans="1:23" x14ac:dyDescent="0.4">
      <c r="A46">
        <v>4</v>
      </c>
      <c r="B46" t="s">
        <v>22</v>
      </c>
      <c r="C46" t="s">
        <v>17</v>
      </c>
      <c r="D46">
        <v>0</v>
      </c>
      <c r="E46">
        <v>0.5</v>
      </c>
      <c r="F46">
        <v>1</v>
      </c>
      <c r="G46">
        <v>0</v>
      </c>
      <c r="H46">
        <v>0</v>
      </c>
      <c r="I46">
        <v>0</v>
      </c>
      <c r="T46" t="s">
        <v>67</v>
      </c>
    </row>
    <row r="47" spans="1:23" x14ac:dyDescent="0.4">
      <c r="T47" t="s">
        <v>68</v>
      </c>
    </row>
    <row r="48" spans="1:23" x14ac:dyDescent="0.4">
      <c r="A48">
        <v>5</v>
      </c>
      <c r="B48" t="s">
        <v>22</v>
      </c>
      <c r="C48" t="s">
        <v>120</v>
      </c>
      <c r="D48">
        <v>50</v>
      </c>
      <c r="E48">
        <v>0.2</v>
      </c>
      <c r="F48">
        <v>3</v>
      </c>
      <c r="G48">
        <v>25</v>
      </c>
      <c r="H48">
        <v>10</v>
      </c>
      <c r="I48">
        <v>20</v>
      </c>
      <c r="N48">
        <f>(1/E48)*D48</f>
        <v>250</v>
      </c>
    </row>
    <row r="49" spans="1:20" x14ac:dyDescent="0.4">
      <c r="A49">
        <v>5</v>
      </c>
      <c r="B49" t="s">
        <v>22</v>
      </c>
      <c r="C49" t="s">
        <v>17</v>
      </c>
      <c r="D49">
        <v>0</v>
      </c>
      <c r="E49">
        <v>0.5</v>
      </c>
      <c r="F49">
        <v>1</v>
      </c>
      <c r="G49">
        <v>0</v>
      </c>
      <c r="H49">
        <v>0</v>
      </c>
      <c r="I49">
        <v>0</v>
      </c>
      <c r="T49" t="s">
        <v>85</v>
      </c>
    </row>
    <row r="50" spans="1:20" x14ac:dyDescent="0.4">
      <c r="T50" t="s">
        <v>87</v>
      </c>
    </row>
    <row r="51" spans="1:20" x14ac:dyDescent="0.4">
      <c r="A51">
        <v>6</v>
      </c>
      <c r="B51" t="s">
        <v>22</v>
      </c>
      <c r="C51" t="s">
        <v>120</v>
      </c>
      <c r="D51">
        <v>50</v>
      </c>
      <c r="E51">
        <v>0.2</v>
      </c>
      <c r="F51">
        <v>3</v>
      </c>
      <c r="G51">
        <v>25</v>
      </c>
      <c r="H51">
        <v>10</v>
      </c>
      <c r="I51">
        <v>20</v>
      </c>
      <c r="N51">
        <f>(1/E51)*D51</f>
        <v>250</v>
      </c>
      <c r="T51" t="s">
        <v>86</v>
      </c>
    </row>
    <row r="52" spans="1:20" x14ac:dyDescent="0.4">
      <c r="A52">
        <v>6</v>
      </c>
      <c r="B52" t="s">
        <v>22</v>
      </c>
      <c r="C52" t="s">
        <v>17</v>
      </c>
      <c r="D52">
        <v>0</v>
      </c>
      <c r="E52">
        <v>0.5</v>
      </c>
      <c r="F52">
        <v>1</v>
      </c>
      <c r="G52">
        <v>0</v>
      </c>
      <c r="H52">
        <v>0</v>
      </c>
      <c r="I52">
        <v>0</v>
      </c>
      <c r="T52" t="s">
        <v>88</v>
      </c>
    </row>
    <row r="54" spans="1:20" x14ac:dyDescent="0.4">
      <c r="A54">
        <v>7</v>
      </c>
      <c r="B54" t="s">
        <v>22</v>
      </c>
      <c r="C54" t="s">
        <v>120</v>
      </c>
      <c r="D54">
        <v>50</v>
      </c>
      <c r="E54">
        <v>0.2</v>
      </c>
      <c r="F54">
        <v>4</v>
      </c>
      <c r="G54">
        <v>25</v>
      </c>
      <c r="H54">
        <v>11</v>
      </c>
      <c r="I54">
        <v>15</v>
      </c>
      <c r="N54">
        <f>(1/E54)*D54</f>
        <v>250</v>
      </c>
      <c r="T54" t="s">
        <v>107</v>
      </c>
    </row>
    <row r="55" spans="1:20" x14ac:dyDescent="0.4">
      <c r="A55">
        <v>7</v>
      </c>
      <c r="B55" t="s">
        <v>22</v>
      </c>
      <c r="C55" t="s">
        <v>17</v>
      </c>
      <c r="D55">
        <v>0</v>
      </c>
      <c r="E55">
        <v>0.3</v>
      </c>
      <c r="F55">
        <v>1</v>
      </c>
      <c r="G55">
        <v>0</v>
      </c>
      <c r="H55">
        <v>0</v>
      </c>
      <c r="I55">
        <v>0</v>
      </c>
    </row>
    <row r="56" spans="1:20" x14ac:dyDescent="0.4">
      <c r="T56" t="s">
        <v>112</v>
      </c>
    </row>
    <row r="57" spans="1:20" x14ac:dyDescent="0.4">
      <c r="A57" t="s">
        <v>14</v>
      </c>
      <c r="B57" t="s">
        <v>15</v>
      </c>
      <c r="D57" t="s">
        <v>16</v>
      </c>
      <c r="E57" t="s">
        <v>17</v>
      </c>
      <c r="F57" t="s">
        <v>18</v>
      </c>
      <c r="G57" t="s">
        <v>19</v>
      </c>
      <c r="H57" t="s">
        <v>20</v>
      </c>
      <c r="I57" t="s">
        <v>170</v>
      </c>
      <c r="J57" t="s">
        <v>21</v>
      </c>
      <c r="K57" t="s">
        <v>179</v>
      </c>
      <c r="Q57" t="s">
        <v>135</v>
      </c>
      <c r="T57" t="s">
        <v>108</v>
      </c>
    </row>
    <row r="58" spans="1:20" x14ac:dyDescent="0.4">
      <c r="A58">
        <v>1</v>
      </c>
      <c r="B58" t="s">
        <v>25</v>
      </c>
      <c r="C58" t="s">
        <v>125</v>
      </c>
      <c r="D58">
        <v>50</v>
      </c>
      <c r="E58">
        <v>0.3</v>
      </c>
      <c r="F58">
        <v>1</v>
      </c>
      <c r="G58">
        <v>25</v>
      </c>
      <c r="H58">
        <v>4</v>
      </c>
      <c r="I58">
        <v>2</v>
      </c>
      <c r="J58">
        <v>5</v>
      </c>
      <c r="K58">
        <v>2</v>
      </c>
      <c r="L58" t="s">
        <v>126</v>
      </c>
      <c r="Q58">
        <f>(1/E58)*D58</f>
        <v>166.66666666666669</v>
      </c>
      <c r="T58" t="s">
        <v>111</v>
      </c>
    </row>
    <row r="59" spans="1:20" x14ac:dyDescent="0.4">
      <c r="A59">
        <v>1</v>
      </c>
      <c r="B59" t="s">
        <v>25</v>
      </c>
      <c r="C59" t="s">
        <v>125</v>
      </c>
      <c r="D59">
        <v>50</v>
      </c>
      <c r="E59">
        <v>0.3</v>
      </c>
      <c r="F59">
        <v>1</v>
      </c>
      <c r="G59">
        <v>25</v>
      </c>
      <c r="H59">
        <v>3</v>
      </c>
      <c r="I59">
        <v>1</v>
      </c>
      <c r="J59">
        <v>5</v>
      </c>
      <c r="K59">
        <v>2</v>
      </c>
      <c r="L59" t="s">
        <v>126</v>
      </c>
      <c r="T59" t="s">
        <v>108</v>
      </c>
    </row>
    <row r="60" spans="1:20" x14ac:dyDescent="0.4">
      <c r="A60">
        <v>1</v>
      </c>
      <c r="B60" t="s">
        <v>25</v>
      </c>
      <c r="C60" t="s">
        <v>128</v>
      </c>
      <c r="D60">
        <v>50</v>
      </c>
      <c r="E60">
        <v>0.6</v>
      </c>
      <c r="F60">
        <v>1</v>
      </c>
      <c r="G60">
        <v>25</v>
      </c>
      <c r="H60">
        <v>3.5</v>
      </c>
      <c r="I60">
        <v>0.5</v>
      </c>
      <c r="J60">
        <v>200</v>
      </c>
      <c r="K60">
        <v>3</v>
      </c>
      <c r="L60" t="s">
        <v>195</v>
      </c>
      <c r="Q60">
        <f>(1/E60)*D60</f>
        <v>83.333333333333343</v>
      </c>
      <c r="T60" t="s">
        <v>110</v>
      </c>
    </row>
    <row r="61" spans="1:20" x14ac:dyDescent="0.4">
      <c r="T61" t="s">
        <v>108</v>
      </c>
    </row>
    <row r="62" spans="1:20" x14ac:dyDescent="0.4">
      <c r="A62">
        <v>2</v>
      </c>
      <c r="B62" t="s">
        <v>25</v>
      </c>
      <c r="C62" t="s">
        <v>125</v>
      </c>
      <c r="D62">
        <v>50</v>
      </c>
      <c r="E62">
        <v>0.3</v>
      </c>
      <c r="F62">
        <v>1</v>
      </c>
      <c r="G62">
        <v>25</v>
      </c>
      <c r="H62">
        <v>4</v>
      </c>
      <c r="I62">
        <v>2</v>
      </c>
      <c r="J62">
        <v>5</v>
      </c>
      <c r="K62">
        <v>2</v>
      </c>
      <c r="L62" t="s">
        <v>126</v>
      </c>
      <c r="Q62">
        <f>(1/E62)*D62</f>
        <v>166.66666666666669</v>
      </c>
      <c r="T62" t="s">
        <v>109</v>
      </c>
    </row>
    <row r="63" spans="1:20" x14ac:dyDescent="0.4">
      <c r="A63">
        <v>2</v>
      </c>
      <c r="B63" t="s">
        <v>25</v>
      </c>
      <c r="C63" t="s">
        <v>125</v>
      </c>
      <c r="D63">
        <v>50</v>
      </c>
      <c r="E63">
        <v>0.3</v>
      </c>
      <c r="F63">
        <v>1</v>
      </c>
      <c r="G63">
        <v>25</v>
      </c>
      <c r="H63">
        <v>3</v>
      </c>
      <c r="I63">
        <v>1</v>
      </c>
      <c r="J63">
        <v>5</v>
      </c>
      <c r="K63">
        <v>2</v>
      </c>
      <c r="L63" t="s">
        <v>126</v>
      </c>
    </row>
    <row r="64" spans="1:20" x14ac:dyDescent="0.4">
      <c r="A64">
        <v>2</v>
      </c>
      <c r="B64" t="s">
        <v>25</v>
      </c>
      <c r="C64" t="s">
        <v>128</v>
      </c>
      <c r="D64">
        <v>50</v>
      </c>
      <c r="E64">
        <v>0.6</v>
      </c>
      <c r="F64">
        <v>1</v>
      </c>
      <c r="G64">
        <v>25</v>
      </c>
      <c r="H64">
        <v>3.5</v>
      </c>
      <c r="I64">
        <v>0.5</v>
      </c>
      <c r="J64">
        <v>200</v>
      </c>
      <c r="K64">
        <v>3</v>
      </c>
      <c r="L64" t="s">
        <v>195</v>
      </c>
      <c r="Q64">
        <f>(1/E64)*D64</f>
        <v>83.333333333333343</v>
      </c>
    </row>
    <row r="66" spans="1:17" x14ac:dyDescent="0.4">
      <c r="A66">
        <v>3</v>
      </c>
      <c r="B66" t="s">
        <v>25</v>
      </c>
      <c r="C66" t="s">
        <v>125</v>
      </c>
      <c r="D66">
        <v>50</v>
      </c>
      <c r="E66">
        <v>0.3</v>
      </c>
      <c r="F66">
        <v>1</v>
      </c>
      <c r="G66">
        <v>25</v>
      </c>
      <c r="H66">
        <v>4</v>
      </c>
      <c r="I66">
        <v>2</v>
      </c>
      <c r="J66">
        <v>5</v>
      </c>
      <c r="K66">
        <v>2</v>
      </c>
      <c r="L66" t="s">
        <v>126</v>
      </c>
      <c r="Q66">
        <f>(1/E66)*D66</f>
        <v>166.66666666666669</v>
      </c>
    </row>
    <row r="67" spans="1:17" x14ac:dyDescent="0.4">
      <c r="A67">
        <v>3</v>
      </c>
      <c r="B67" t="s">
        <v>25</v>
      </c>
      <c r="C67" t="s">
        <v>125</v>
      </c>
      <c r="D67">
        <v>50</v>
      </c>
      <c r="E67">
        <v>0.3</v>
      </c>
      <c r="F67">
        <v>2</v>
      </c>
      <c r="G67">
        <v>25</v>
      </c>
      <c r="H67">
        <v>3</v>
      </c>
      <c r="I67">
        <v>1</v>
      </c>
      <c r="J67">
        <v>5</v>
      </c>
      <c r="K67">
        <v>2</v>
      </c>
      <c r="L67" t="s">
        <v>126</v>
      </c>
    </row>
    <row r="68" spans="1:17" x14ac:dyDescent="0.4">
      <c r="A68">
        <v>3</v>
      </c>
      <c r="B68" t="s">
        <v>25</v>
      </c>
      <c r="C68" t="s">
        <v>128</v>
      </c>
      <c r="D68">
        <v>50</v>
      </c>
      <c r="E68">
        <v>0.6</v>
      </c>
      <c r="F68">
        <v>1</v>
      </c>
      <c r="G68">
        <v>25</v>
      </c>
      <c r="H68">
        <v>3.5</v>
      </c>
      <c r="I68">
        <v>0.5</v>
      </c>
      <c r="J68">
        <v>200</v>
      </c>
      <c r="K68">
        <v>3</v>
      </c>
      <c r="L68" t="s">
        <v>195</v>
      </c>
      <c r="Q68">
        <f>(1/E68)*D68</f>
        <v>83.333333333333343</v>
      </c>
    </row>
    <row r="70" spans="1:17" x14ac:dyDescent="0.4">
      <c r="A70">
        <v>4</v>
      </c>
      <c r="B70" t="s">
        <v>25</v>
      </c>
      <c r="C70" t="s">
        <v>125</v>
      </c>
      <c r="D70">
        <v>50</v>
      </c>
      <c r="E70">
        <v>0.2</v>
      </c>
      <c r="F70">
        <v>1</v>
      </c>
      <c r="G70">
        <v>25</v>
      </c>
      <c r="H70">
        <v>4</v>
      </c>
      <c r="I70">
        <v>2</v>
      </c>
      <c r="J70">
        <v>5</v>
      </c>
      <c r="K70">
        <v>2</v>
      </c>
      <c r="L70" t="s">
        <v>126</v>
      </c>
      <c r="Q70">
        <f>(1/E70)*D70</f>
        <v>250</v>
      </c>
    </row>
    <row r="71" spans="1:17" x14ac:dyDescent="0.4">
      <c r="A71">
        <v>4</v>
      </c>
      <c r="B71" t="s">
        <v>25</v>
      </c>
      <c r="C71" t="s">
        <v>125</v>
      </c>
      <c r="D71">
        <v>50</v>
      </c>
      <c r="E71">
        <v>0.2</v>
      </c>
      <c r="F71">
        <v>2</v>
      </c>
      <c r="G71">
        <v>25</v>
      </c>
      <c r="H71">
        <v>3</v>
      </c>
      <c r="I71">
        <v>0.5</v>
      </c>
      <c r="J71">
        <v>5</v>
      </c>
      <c r="K71">
        <v>2</v>
      </c>
      <c r="L71" t="s">
        <v>126</v>
      </c>
    </row>
    <row r="72" spans="1:17" x14ac:dyDescent="0.4">
      <c r="A72">
        <v>4</v>
      </c>
      <c r="B72" t="s">
        <v>25</v>
      </c>
      <c r="C72" t="s">
        <v>128</v>
      </c>
      <c r="D72">
        <v>50</v>
      </c>
      <c r="E72">
        <v>0.6</v>
      </c>
      <c r="F72">
        <v>1</v>
      </c>
      <c r="G72">
        <v>25</v>
      </c>
      <c r="H72">
        <v>3.5</v>
      </c>
      <c r="I72">
        <v>0.5</v>
      </c>
      <c r="J72">
        <v>200</v>
      </c>
      <c r="K72">
        <v>3</v>
      </c>
      <c r="L72" t="s">
        <v>195</v>
      </c>
      <c r="Q72">
        <f>(1/E72)*D72</f>
        <v>83.333333333333343</v>
      </c>
    </row>
    <row r="74" spans="1:17" x14ac:dyDescent="0.4">
      <c r="A74">
        <v>5</v>
      </c>
      <c r="B74" t="s">
        <v>25</v>
      </c>
      <c r="C74" t="s">
        <v>125</v>
      </c>
      <c r="D74">
        <v>50</v>
      </c>
      <c r="E74">
        <v>0.2</v>
      </c>
      <c r="F74">
        <v>1</v>
      </c>
      <c r="G74">
        <v>25</v>
      </c>
      <c r="H74">
        <v>4</v>
      </c>
      <c r="I74">
        <v>2</v>
      </c>
      <c r="J74">
        <v>5</v>
      </c>
      <c r="K74">
        <v>2</v>
      </c>
      <c r="L74" t="s">
        <v>126</v>
      </c>
      <c r="Q74">
        <f>(1/E74)*D74</f>
        <v>250</v>
      </c>
    </row>
    <row r="75" spans="1:17" x14ac:dyDescent="0.4">
      <c r="A75">
        <v>5</v>
      </c>
      <c r="B75" t="s">
        <v>25</v>
      </c>
      <c r="C75" t="s">
        <v>125</v>
      </c>
      <c r="D75">
        <v>50</v>
      </c>
      <c r="E75">
        <v>0.2</v>
      </c>
      <c r="F75">
        <v>3</v>
      </c>
      <c r="G75">
        <v>25</v>
      </c>
      <c r="H75">
        <v>3</v>
      </c>
      <c r="I75">
        <v>0.5</v>
      </c>
      <c r="J75">
        <v>5</v>
      </c>
      <c r="K75">
        <v>2</v>
      </c>
      <c r="L75" t="s">
        <v>126</v>
      </c>
    </row>
    <row r="76" spans="1:17" x14ac:dyDescent="0.4">
      <c r="A76">
        <v>5</v>
      </c>
      <c r="B76" t="s">
        <v>25</v>
      </c>
      <c r="C76" t="s">
        <v>128</v>
      </c>
      <c r="D76">
        <v>50</v>
      </c>
      <c r="E76">
        <v>0.6</v>
      </c>
      <c r="F76">
        <v>1</v>
      </c>
      <c r="G76">
        <v>25</v>
      </c>
      <c r="H76">
        <v>3.5</v>
      </c>
      <c r="I76">
        <v>0.5</v>
      </c>
      <c r="J76">
        <v>200</v>
      </c>
      <c r="K76">
        <v>3</v>
      </c>
      <c r="L76" t="s">
        <v>195</v>
      </c>
      <c r="Q76">
        <f>(1/E76)*D76</f>
        <v>83.333333333333343</v>
      </c>
    </row>
    <row r="78" spans="1:17" x14ac:dyDescent="0.4">
      <c r="A78">
        <v>6</v>
      </c>
      <c r="B78" t="s">
        <v>25</v>
      </c>
      <c r="C78" t="s">
        <v>125</v>
      </c>
      <c r="D78">
        <v>50</v>
      </c>
      <c r="E78">
        <v>0.2</v>
      </c>
      <c r="F78">
        <v>1</v>
      </c>
      <c r="G78">
        <v>25</v>
      </c>
      <c r="H78">
        <v>4</v>
      </c>
      <c r="I78">
        <v>2</v>
      </c>
      <c r="J78">
        <v>5</v>
      </c>
      <c r="K78">
        <v>2</v>
      </c>
      <c r="L78" t="s">
        <v>126</v>
      </c>
      <c r="Q78">
        <f>(1/E78)*D78</f>
        <v>250</v>
      </c>
    </row>
    <row r="79" spans="1:17" x14ac:dyDescent="0.4">
      <c r="A79">
        <v>6</v>
      </c>
      <c r="B79" t="s">
        <v>25</v>
      </c>
      <c r="C79" t="s">
        <v>125</v>
      </c>
      <c r="D79">
        <v>50</v>
      </c>
      <c r="E79">
        <v>0.2</v>
      </c>
      <c r="F79">
        <v>3</v>
      </c>
      <c r="G79">
        <v>25</v>
      </c>
      <c r="H79">
        <v>3</v>
      </c>
      <c r="I79">
        <v>0.5</v>
      </c>
      <c r="J79">
        <v>5</v>
      </c>
      <c r="K79">
        <v>2</v>
      </c>
      <c r="L79" t="s">
        <v>126</v>
      </c>
    </row>
    <row r="80" spans="1:17" x14ac:dyDescent="0.4">
      <c r="A80">
        <v>6</v>
      </c>
      <c r="B80" t="s">
        <v>25</v>
      </c>
      <c r="C80" t="s">
        <v>128</v>
      </c>
      <c r="D80">
        <v>50</v>
      </c>
      <c r="E80">
        <v>0.6</v>
      </c>
      <c r="F80">
        <v>1</v>
      </c>
      <c r="G80">
        <v>25</v>
      </c>
      <c r="H80">
        <v>3.5</v>
      </c>
      <c r="I80">
        <v>0.5</v>
      </c>
      <c r="J80">
        <v>200</v>
      </c>
      <c r="K80">
        <v>3</v>
      </c>
      <c r="L80" t="s">
        <v>195</v>
      </c>
      <c r="Q80">
        <f>(1/E80)*D80</f>
        <v>83.333333333333343</v>
      </c>
    </row>
    <row r="82" spans="1:17" x14ac:dyDescent="0.4">
      <c r="A82">
        <v>7</v>
      </c>
      <c r="B82" t="s">
        <v>25</v>
      </c>
      <c r="C82" t="s">
        <v>125</v>
      </c>
      <c r="D82">
        <v>50</v>
      </c>
      <c r="E82">
        <v>0.15</v>
      </c>
      <c r="F82">
        <v>1</v>
      </c>
      <c r="G82">
        <v>25</v>
      </c>
      <c r="H82">
        <v>4</v>
      </c>
      <c r="I82">
        <v>2</v>
      </c>
      <c r="J82">
        <v>5</v>
      </c>
      <c r="K82">
        <v>2</v>
      </c>
      <c r="L82" t="s">
        <v>126</v>
      </c>
      <c r="Q82">
        <f>(1/E82)*D82</f>
        <v>333.33333333333337</v>
      </c>
    </row>
    <row r="83" spans="1:17" x14ac:dyDescent="0.4">
      <c r="A83">
        <v>7</v>
      </c>
      <c r="B83" t="s">
        <v>25</v>
      </c>
      <c r="C83" t="s">
        <v>125</v>
      </c>
      <c r="D83">
        <v>50</v>
      </c>
      <c r="E83">
        <v>0.15</v>
      </c>
      <c r="F83">
        <v>4</v>
      </c>
      <c r="G83">
        <v>25</v>
      </c>
      <c r="H83">
        <v>3</v>
      </c>
      <c r="I83">
        <v>0.5</v>
      </c>
      <c r="J83">
        <v>5</v>
      </c>
      <c r="K83">
        <v>2</v>
      </c>
      <c r="L83" t="s">
        <v>126</v>
      </c>
    </row>
    <row r="84" spans="1:17" x14ac:dyDescent="0.4">
      <c r="A84">
        <v>7</v>
      </c>
      <c r="B84" t="s">
        <v>25</v>
      </c>
      <c r="C84" t="s">
        <v>128</v>
      </c>
      <c r="D84">
        <v>50</v>
      </c>
      <c r="E84">
        <v>0.6</v>
      </c>
      <c r="F84">
        <v>1</v>
      </c>
      <c r="G84">
        <v>25</v>
      </c>
      <c r="H84">
        <v>3.5</v>
      </c>
      <c r="I84">
        <v>0.5</v>
      </c>
      <c r="J84">
        <v>200</v>
      </c>
      <c r="K84">
        <v>3</v>
      </c>
      <c r="L84" t="s">
        <v>195</v>
      </c>
      <c r="Q84">
        <f>(1/E84)*D84</f>
        <v>83.333333333333343</v>
      </c>
    </row>
    <row r="86" spans="1:17" x14ac:dyDescent="0.4">
      <c r="A86" t="s">
        <v>32</v>
      </c>
    </row>
    <row r="87" spans="1:17" x14ac:dyDescent="0.4">
      <c r="A87" t="s">
        <v>33</v>
      </c>
    </row>
    <row r="88" spans="1:17" x14ac:dyDescent="0.4">
      <c r="A88" t="s">
        <v>631</v>
      </c>
    </row>
    <row r="89" spans="1:17" x14ac:dyDescent="0.4">
      <c r="A89" t="s">
        <v>634</v>
      </c>
    </row>
    <row r="90" spans="1:17" x14ac:dyDescent="0.4">
      <c r="A90" t="s">
        <v>632</v>
      </c>
      <c r="D90" t="s">
        <v>633</v>
      </c>
    </row>
    <row r="92" spans="1:17" x14ac:dyDescent="0.4">
      <c r="A92" t="s">
        <v>34</v>
      </c>
    </row>
    <row r="93" spans="1:17" x14ac:dyDescent="0.4">
      <c r="A93" t="s">
        <v>631</v>
      </c>
    </row>
    <row r="94" spans="1:17" x14ac:dyDescent="0.4">
      <c r="A94" t="s">
        <v>632</v>
      </c>
      <c r="D94" t="s">
        <v>633</v>
      </c>
    </row>
    <row r="96" spans="1:17" x14ac:dyDescent="0.4">
      <c r="A96" t="s">
        <v>35</v>
      </c>
    </row>
    <row r="97" spans="1:4" x14ac:dyDescent="0.4">
      <c r="A97" t="s">
        <v>36</v>
      </c>
    </row>
    <row r="98" spans="1:4" x14ac:dyDescent="0.4">
      <c r="A98" t="s">
        <v>37</v>
      </c>
      <c r="B98" t="s">
        <v>96</v>
      </c>
      <c r="D98" t="s">
        <v>134</v>
      </c>
    </row>
    <row r="99" spans="1:4" x14ac:dyDescent="0.4">
      <c r="A99" t="s">
        <v>187</v>
      </c>
    </row>
    <row r="100" spans="1:4" x14ac:dyDescent="0.4">
      <c r="A100" t="s">
        <v>197</v>
      </c>
    </row>
    <row r="101" spans="1:4" x14ac:dyDescent="0.4">
      <c r="A101" t="s">
        <v>196</v>
      </c>
    </row>
    <row r="102" spans="1:4" x14ac:dyDescent="0.4">
      <c r="A102" t="s">
        <v>188</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3FCA2-BC20-4F8C-9DB1-6D5B1B890C80}">
  <dimension ref="A1:AC93"/>
  <sheetViews>
    <sheetView topLeftCell="A33" workbookViewId="0">
      <selection activeCell="A36" sqref="A36:N55"/>
    </sheetView>
  </sheetViews>
  <sheetFormatPr defaultRowHeight="18.75" x14ac:dyDescent="0.4"/>
  <sheetData>
    <row r="1" spans="1:29" x14ac:dyDescent="0.4">
      <c r="A1" t="s">
        <v>353</v>
      </c>
      <c r="P1" t="s">
        <v>65</v>
      </c>
      <c r="Z1" t="s">
        <v>90</v>
      </c>
    </row>
    <row r="2" spans="1:29" x14ac:dyDescent="0.4">
      <c r="A2" t="s">
        <v>1</v>
      </c>
      <c r="B2">
        <v>1200</v>
      </c>
      <c r="C2" t="s">
        <v>2</v>
      </c>
      <c r="P2" t="s">
        <v>14</v>
      </c>
      <c r="Z2" s="9">
        <v>1</v>
      </c>
      <c r="AA2" s="9">
        <v>125</v>
      </c>
      <c r="AB2" t="s">
        <v>91</v>
      </c>
    </row>
    <row r="3" spans="1:29" x14ac:dyDescent="0.4">
      <c r="A3" t="s">
        <v>3</v>
      </c>
      <c r="B3">
        <v>800</v>
      </c>
      <c r="C3" t="s">
        <v>2</v>
      </c>
      <c r="P3" t="s">
        <v>77</v>
      </c>
      <c r="Z3" s="9">
        <v>2</v>
      </c>
      <c r="AA3" s="9">
        <v>250</v>
      </c>
    </row>
    <row r="4" spans="1:29" x14ac:dyDescent="0.4">
      <c r="A4" t="s">
        <v>4</v>
      </c>
      <c r="B4">
        <v>100</v>
      </c>
      <c r="C4" t="s">
        <v>2</v>
      </c>
      <c r="P4" t="s">
        <v>78</v>
      </c>
      <c r="Q4" t="s">
        <v>79</v>
      </c>
      <c r="Z4" s="9">
        <v>3</v>
      </c>
      <c r="AA4" s="9">
        <v>500</v>
      </c>
      <c r="AC4" t="s">
        <v>92</v>
      </c>
    </row>
    <row r="5" spans="1:29" x14ac:dyDescent="0.4">
      <c r="A5" t="s">
        <v>169</v>
      </c>
      <c r="B5">
        <v>59</v>
      </c>
      <c r="D5" t="s">
        <v>174</v>
      </c>
      <c r="E5" t="s">
        <v>176</v>
      </c>
      <c r="P5" t="s">
        <v>80</v>
      </c>
      <c r="Q5" t="s">
        <v>81</v>
      </c>
      <c r="Z5" s="9">
        <v>4</v>
      </c>
      <c r="AA5" s="9">
        <v>1000</v>
      </c>
      <c r="AC5" t="s">
        <v>93</v>
      </c>
    </row>
    <row r="6" spans="1:29" x14ac:dyDescent="0.4">
      <c r="A6" t="s">
        <v>136</v>
      </c>
      <c r="Z6" s="9">
        <v>5</v>
      </c>
      <c r="AA6" s="9">
        <v>2000</v>
      </c>
    </row>
    <row r="7" spans="1:29" x14ac:dyDescent="0.4">
      <c r="P7" t="s">
        <v>69</v>
      </c>
      <c r="R7" t="s">
        <v>72</v>
      </c>
      <c r="Z7" s="9">
        <v>6</v>
      </c>
      <c r="AA7" s="9">
        <v>4000</v>
      </c>
    </row>
    <row r="8" spans="1:29" x14ac:dyDescent="0.4">
      <c r="P8" t="s">
        <v>70</v>
      </c>
      <c r="R8" t="s">
        <v>73</v>
      </c>
      <c r="Z8" s="9">
        <v>7</v>
      </c>
      <c r="AA8" s="9">
        <v>8000</v>
      </c>
    </row>
    <row r="9" spans="1:29" x14ac:dyDescent="0.4">
      <c r="P9" t="s">
        <v>71</v>
      </c>
      <c r="R9" t="s">
        <v>74</v>
      </c>
      <c r="Z9" s="9">
        <v>8</v>
      </c>
      <c r="AA9" s="9">
        <v>16000</v>
      </c>
    </row>
    <row r="10" spans="1:29" x14ac:dyDescent="0.4">
      <c r="Z10" s="9">
        <v>9</v>
      </c>
      <c r="AA10" s="9">
        <v>32000</v>
      </c>
    </row>
    <row r="11" spans="1:29" x14ac:dyDescent="0.4">
      <c r="A11" t="s">
        <v>5</v>
      </c>
      <c r="B11">
        <v>1</v>
      </c>
      <c r="P11" t="s">
        <v>75</v>
      </c>
      <c r="Z11" s="9">
        <v>10</v>
      </c>
      <c r="AA11" s="9">
        <v>64000</v>
      </c>
    </row>
    <row r="12" spans="1:29" x14ac:dyDescent="0.4">
      <c r="A12" t="s">
        <v>6</v>
      </c>
      <c r="B12">
        <v>9</v>
      </c>
      <c r="C12" t="s">
        <v>138</v>
      </c>
      <c r="P12" t="s">
        <v>76</v>
      </c>
      <c r="Z12" s="9">
        <v>11</v>
      </c>
      <c r="AA12" s="9">
        <v>128000</v>
      </c>
    </row>
    <row r="13" spans="1:29" x14ac:dyDescent="0.4">
      <c r="A13" t="s">
        <v>8</v>
      </c>
      <c r="B13" t="s">
        <v>139</v>
      </c>
      <c r="Z13" s="9">
        <v>12</v>
      </c>
      <c r="AA13" s="9">
        <v>256000</v>
      </c>
    </row>
    <row r="14" spans="1:29" x14ac:dyDescent="0.4">
      <c r="A14" t="s">
        <v>10</v>
      </c>
      <c r="B14" t="s">
        <v>140</v>
      </c>
      <c r="P14" s="9" t="s">
        <v>63</v>
      </c>
      <c r="Q14" s="9" t="s">
        <v>64</v>
      </c>
      <c r="S14" t="s">
        <v>66</v>
      </c>
      <c r="Z14" s="9">
        <v>13</v>
      </c>
      <c r="AA14" s="9">
        <v>500000</v>
      </c>
    </row>
    <row r="15" spans="1:29" x14ac:dyDescent="0.4">
      <c r="A15" t="s">
        <v>12</v>
      </c>
      <c r="B15" t="s">
        <v>141</v>
      </c>
      <c r="P15" s="9">
        <v>0</v>
      </c>
      <c r="Q15" s="9">
        <v>100</v>
      </c>
      <c r="S15" t="s">
        <v>55</v>
      </c>
    </row>
    <row r="16" spans="1:29" x14ac:dyDescent="0.4">
      <c r="P16" s="9">
        <v>1</v>
      </c>
      <c r="Q16" s="9">
        <v>200</v>
      </c>
      <c r="S16" t="s">
        <v>56</v>
      </c>
    </row>
    <row r="17" spans="1:19" x14ac:dyDescent="0.4">
      <c r="B17" t="s">
        <v>131</v>
      </c>
      <c r="P17" s="9">
        <v>2</v>
      </c>
      <c r="Q17" s="9">
        <v>300</v>
      </c>
      <c r="S17" t="s">
        <v>57</v>
      </c>
    </row>
    <row r="18" spans="1:19" x14ac:dyDescent="0.4">
      <c r="B18" t="s">
        <v>130</v>
      </c>
      <c r="P18" s="9"/>
      <c r="Q18" s="9"/>
    </row>
    <row r="19" spans="1:19" x14ac:dyDescent="0.4">
      <c r="B19" t="s">
        <v>132</v>
      </c>
      <c r="P19" s="9"/>
      <c r="Q19" s="9"/>
    </row>
    <row r="20" spans="1:19" x14ac:dyDescent="0.4">
      <c r="A20" t="s">
        <v>121</v>
      </c>
      <c r="B20" t="s">
        <v>122</v>
      </c>
      <c r="P20" s="9">
        <v>3</v>
      </c>
      <c r="Q20" s="9">
        <v>400</v>
      </c>
      <c r="S20" t="s">
        <v>58</v>
      </c>
    </row>
    <row r="21" spans="1:19" x14ac:dyDescent="0.4">
      <c r="A21" t="s">
        <v>14</v>
      </c>
      <c r="B21" t="s">
        <v>15</v>
      </c>
      <c r="D21" t="s">
        <v>16</v>
      </c>
      <c r="E21" t="s">
        <v>17</v>
      </c>
      <c r="F21" t="s">
        <v>18</v>
      </c>
      <c r="G21" t="s">
        <v>19</v>
      </c>
      <c r="H21" t="s">
        <v>20</v>
      </c>
      <c r="I21" t="s">
        <v>21</v>
      </c>
      <c r="P21" s="9">
        <v>4</v>
      </c>
      <c r="Q21" s="9">
        <v>500</v>
      </c>
      <c r="S21" t="s">
        <v>59</v>
      </c>
    </row>
    <row r="22" spans="1:19" x14ac:dyDescent="0.4">
      <c r="A22">
        <v>1</v>
      </c>
      <c r="B22" t="s">
        <v>22</v>
      </c>
      <c r="C22" t="s">
        <v>142</v>
      </c>
      <c r="D22">
        <v>80</v>
      </c>
      <c r="E22">
        <v>0.3</v>
      </c>
      <c r="F22">
        <v>1</v>
      </c>
      <c r="G22">
        <v>28</v>
      </c>
      <c r="H22">
        <v>16</v>
      </c>
      <c r="I22">
        <v>40</v>
      </c>
      <c r="J22" t="s">
        <v>172</v>
      </c>
      <c r="P22" s="9">
        <v>5</v>
      </c>
      <c r="Q22" s="9">
        <v>600</v>
      </c>
      <c r="S22" t="s">
        <v>60</v>
      </c>
    </row>
    <row r="23" spans="1:19" x14ac:dyDescent="0.4">
      <c r="A23">
        <v>1</v>
      </c>
      <c r="B23" t="s">
        <v>22</v>
      </c>
      <c r="C23" t="s">
        <v>17</v>
      </c>
      <c r="D23">
        <v>0</v>
      </c>
      <c r="E23">
        <v>0.7</v>
      </c>
      <c r="F23">
        <v>1</v>
      </c>
      <c r="G23">
        <v>0</v>
      </c>
      <c r="H23">
        <v>0</v>
      </c>
      <c r="I23">
        <v>0</v>
      </c>
      <c r="J23" t="s">
        <v>124</v>
      </c>
      <c r="P23" s="9">
        <v>6</v>
      </c>
      <c r="Q23" s="9">
        <v>700</v>
      </c>
      <c r="S23" t="s">
        <v>61</v>
      </c>
    </row>
    <row r="24" spans="1:19" x14ac:dyDescent="0.4">
      <c r="P24" s="9">
        <v>7</v>
      </c>
      <c r="Q24" s="9">
        <v>800</v>
      </c>
      <c r="S24" t="s">
        <v>62</v>
      </c>
    </row>
    <row r="25" spans="1:19" x14ac:dyDescent="0.4">
      <c r="B25" t="s">
        <v>146</v>
      </c>
      <c r="P25" s="9">
        <v>8</v>
      </c>
      <c r="Q25" s="9">
        <v>900</v>
      </c>
    </row>
    <row r="26" spans="1:19" x14ac:dyDescent="0.4">
      <c r="P26" s="9">
        <v>9</v>
      </c>
      <c r="Q26" s="9">
        <v>1000</v>
      </c>
    </row>
    <row r="27" spans="1:19" x14ac:dyDescent="0.4">
      <c r="A27" t="s">
        <v>14</v>
      </c>
      <c r="B27" t="s">
        <v>15</v>
      </c>
      <c r="D27" t="s">
        <v>16</v>
      </c>
      <c r="E27" t="s">
        <v>17</v>
      </c>
      <c r="F27" t="s">
        <v>18</v>
      </c>
      <c r="G27" t="s">
        <v>19</v>
      </c>
      <c r="H27" t="s">
        <v>20</v>
      </c>
      <c r="I27" t="s">
        <v>21</v>
      </c>
      <c r="P27" s="9">
        <v>10</v>
      </c>
      <c r="Q27" s="9">
        <v>1100</v>
      </c>
    </row>
    <row r="28" spans="1:19" x14ac:dyDescent="0.4">
      <c r="A28">
        <v>1</v>
      </c>
      <c r="B28" t="s">
        <v>25</v>
      </c>
      <c r="C28" t="s">
        <v>143</v>
      </c>
      <c r="D28">
        <v>100</v>
      </c>
      <c r="E28">
        <v>0.9</v>
      </c>
      <c r="F28">
        <v>1</v>
      </c>
      <c r="G28">
        <v>28</v>
      </c>
      <c r="H28">
        <v>5.5</v>
      </c>
      <c r="I28">
        <v>10</v>
      </c>
      <c r="J28" t="s">
        <v>145</v>
      </c>
      <c r="P28" s="9">
        <v>11</v>
      </c>
      <c r="Q28" s="9">
        <v>1200</v>
      </c>
    </row>
    <row r="29" spans="1:19" x14ac:dyDescent="0.4">
      <c r="A29">
        <v>1</v>
      </c>
      <c r="B29" t="s">
        <v>25</v>
      </c>
      <c r="C29" t="s">
        <v>144</v>
      </c>
      <c r="D29">
        <v>100</v>
      </c>
      <c r="E29">
        <v>0.4</v>
      </c>
      <c r="F29">
        <v>1</v>
      </c>
      <c r="G29">
        <v>28</v>
      </c>
      <c r="H29">
        <v>8</v>
      </c>
      <c r="I29">
        <v>200</v>
      </c>
      <c r="J29" t="s">
        <v>127</v>
      </c>
      <c r="P29" s="9">
        <v>12</v>
      </c>
      <c r="Q29" s="9">
        <v>1300</v>
      </c>
    </row>
    <row r="31" spans="1:19" x14ac:dyDescent="0.4">
      <c r="B31" t="s">
        <v>147</v>
      </c>
      <c r="P31" t="s">
        <v>82</v>
      </c>
    </row>
    <row r="32" spans="1:19" x14ac:dyDescent="0.4">
      <c r="P32" t="s">
        <v>83</v>
      </c>
      <c r="R32" t="s">
        <v>84</v>
      </c>
    </row>
    <row r="33" spans="1:23" x14ac:dyDescent="0.4">
      <c r="R33" t="s">
        <v>94</v>
      </c>
    </row>
    <row r="34" spans="1:23" x14ac:dyDescent="0.4">
      <c r="R34" s="9" t="s">
        <v>14</v>
      </c>
      <c r="S34" s="9">
        <v>1</v>
      </c>
      <c r="T34" s="9">
        <v>4</v>
      </c>
      <c r="U34" s="9">
        <v>8</v>
      </c>
      <c r="V34" s="9">
        <v>13</v>
      </c>
      <c r="W34" s="9">
        <v>19</v>
      </c>
    </row>
    <row r="35" spans="1:23" x14ac:dyDescent="0.4">
      <c r="A35" t="s">
        <v>14</v>
      </c>
      <c r="B35" t="s">
        <v>15</v>
      </c>
      <c r="D35" t="s">
        <v>16</v>
      </c>
      <c r="E35" t="s">
        <v>17</v>
      </c>
      <c r="F35" t="s">
        <v>18</v>
      </c>
      <c r="G35" t="s">
        <v>19</v>
      </c>
      <c r="H35" t="s">
        <v>20</v>
      </c>
      <c r="I35" t="s">
        <v>21</v>
      </c>
      <c r="N35" t="s">
        <v>135</v>
      </c>
      <c r="R35" s="9" t="s">
        <v>95</v>
      </c>
      <c r="S35" s="9">
        <v>1</v>
      </c>
      <c r="T35" s="9">
        <v>2</v>
      </c>
      <c r="U35" s="9">
        <v>3</v>
      </c>
      <c r="V35" s="9">
        <v>4</v>
      </c>
      <c r="W35" s="9">
        <v>5</v>
      </c>
    </row>
    <row r="36" spans="1:23" x14ac:dyDescent="0.4">
      <c r="A36">
        <v>1</v>
      </c>
      <c r="B36" t="s">
        <v>22</v>
      </c>
      <c r="C36" t="s">
        <v>142</v>
      </c>
      <c r="D36">
        <v>80</v>
      </c>
      <c r="E36">
        <v>0.3</v>
      </c>
      <c r="F36">
        <v>1</v>
      </c>
      <c r="G36">
        <v>20</v>
      </c>
      <c r="H36">
        <v>10</v>
      </c>
      <c r="I36">
        <v>40</v>
      </c>
      <c r="J36" t="s">
        <v>180</v>
      </c>
      <c r="N36">
        <f>(1/E36)*D36</f>
        <v>266.66666666666669</v>
      </c>
    </row>
    <row r="37" spans="1:23" x14ac:dyDescent="0.4">
      <c r="A37">
        <v>1</v>
      </c>
      <c r="B37" t="s">
        <v>22</v>
      </c>
      <c r="C37" t="s">
        <v>17</v>
      </c>
      <c r="D37">
        <v>0</v>
      </c>
      <c r="E37">
        <v>0.7</v>
      </c>
      <c r="F37">
        <v>1</v>
      </c>
      <c r="G37">
        <v>0</v>
      </c>
      <c r="H37">
        <v>0</v>
      </c>
      <c r="I37">
        <v>0</v>
      </c>
      <c r="J37" t="s">
        <v>124</v>
      </c>
      <c r="P37" t="s">
        <v>98</v>
      </c>
      <c r="S37" t="s">
        <v>102</v>
      </c>
    </row>
    <row r="38" spans="1:23" x14ac:dyDescent="0.4">
      <c r="P38" t="s">
        <v>99</v>
      </c>
      <c r="S38" t="s">
        <v>103</v>
      </c>
    </row>
    <row r="39" spans="1:23" x14ac:dyDescent="0.4">
      <c r="A39">
        <v>2</v>
      </c>
      <c r="B39" t="s">
        <v>22</v>
      </c>
      <c r="C39" t="s">
        <v>142</v>
      </c>
      <c r="D39">
        <v>80</v>
      </c>
      <c r="E39">
        <v>0.3</v>
      </c>
      <c r="F39">
        <v>1</v>
      </c>
      <c r="G39">
        <v>20</v>
      </c>
      <c r="H39">
        <v>10</v>
      </c>
      <c r="I39">
        <v>40</v>
      </c>
      <c r="J39" t="s">
        <v>180</v>
      </c>
      <c r="N39">
        <f>(1/E39)*D39</f>
        <v>266.66666666666669</v>
      </c>
      <c r="Q39" t="s">
        <v>100</v>
      </c>
    </row>
    <row r="40" spans="1:23" x14ac:dyDescent="0.4">
      <c r="A40">
        <v>2</v>
      </c>
      <c r="B40" t="s">
        <v>22</v>
      </c>
      <c r="C40" t="s">
        <v>17</v>
      </c>
      <c r="D40">
        <v>0</v>
      </c>
      <c r="E40">
        <v>0.7</v>
      </c>
      <c r="F40">
        <v>1</v>
      </c>
      <c r="G40">
        <v>0</v>
      </c>
      <c r="H40">
        <v>0</v>
      </c>
      <c r="I40">
        <v>0</v>
      </c>
      <c r="J40" t="s">
        <v>124</v>
      </c>
      <c r="Q40" t="s">
        <v>101</v>
      </c>
    </row>
    <row r="42" spans="1:23" x14ac:dyDescent="0.4">
      <c r="A42">
        <v>3</v>
      </c>
      <c r="B42" t="s">
        <v>22</v>
      </c>
      <c r="C42" t="s">
        <v>142</v>
      </c>
      <c r="D42">
        <v>80</v>
      </c>
      <c r="E42">
        <v>0.3</v>
      </c>
      <c r="F42">
        <v>1</v>
      </c>
      <c r="G42">
        <v>20</v>
      </c>
      <c r="H42">
        <v>10</v>
      </c>
      <c r="I42">
        <v>40</v>
      </c>
      <c r="J42" t="s">
        <v>180</v>
      </c>
      <c r="N42">
        <f>(1/E42)*D42</f>
        <v>266.66666666666669</v>
      </c>
      <c r="P42" t="s">
        <v>104</v>
      </c>
      <c r="S42" t="s">
        <v>105</v>
      </c>
    </row>
    <row r="43" spans="1:23" x14ac:dyDescent="0.4">
      <c r="A43">
        <v>3</v>
      </c>
      <c r="B43" t="s">
        <v>22</v>
      </c>
      <c r="C43" t="s">
        <v>17</v>
      </c>
      <c r="D43">
        <v>0</v>
      </c>
      <c r="E43">
        <v>0.7</v>
      </c>
      <c r="F43">
        <v>1</v>
      </c>
      <c r="G43">
        <v>0</v>
      </c>
      <c r="H43">
        <v>0</v>
      </c>
      <c r="I43">
        <v>0</v>
      </c>
      <c r="J43" t="s">
        <v>124</v>
      </c>
      <c r="Q43" t="s">
        <v>106</v>
      </c>
    </row>
    <row r="45" spans="1:23" x14ac:dyDescent="0.4">
      <c r="A45">
        <v>4</v>
      </c>
      <c r="B45" t="s">
        <v>22</v>
      </c>
      <c r="C45" t="s">
        <v>142</v>
      </c>
      <c r="D45">
        <v>80</v>
      </c>
      <c r="E45">
        <v>0.3</v>
      </c>
      <c r="F45">
        <v>2</v>
      </c>
      <c r="G45">
        <v>20</v>
      </c>
      <c r="H45">
        <v>11</v>
      </c>
      <c r="I45">
        <v>40</v>
      </c>
      <c r="J45" t="s">
        <v>180</v>
      </c>
      <c r="N45">
        <f>(1/E45)*D45</f>
        <v>266.66666666666669</v>
      </c>
    </row>
    <row r="46" spans="1:23" x14ac:dyDescent="0.4">
      <c r="A46">
        <v>4</v>
      </c>
      <c r="B46" t="s">
        <v>22</v>
      </c>
      <c r="C46" t="s">
        <v>17</v>
      </c>
      <c r="D46">
        <v>0</v>
      </c>
      <c r="E46">
        <v>0.6</v>
      </c>
      <c r="F46">
        <v>1</v>
      </c>
      <c r="G46">
        <v>0</v>
      </c>
      <c r="H46">
        <v>0</v>
      </c>
      <c r="I46">
        <v>0</v>
      </c>
      <c r="J46" t="s">
        <v>124</v>
      </c>
      <c r="T46" t="s">
        <v>67</v>
      </c>
    </row>
    <row r="47" spans="1:23" x14ac:dyDescent="0.4">
      <c r="T47" t="s">
        <v>68</v>
      </c>
    </row>
    <row r="48" spans="1:23" x14ac:dyDescent="0.4">
      <c r="A48">
        <v>5</v>
      </c>
      <c r="B48" t="s">
        <v>22</v>
      </c>
      <c r="C48" t="s">
        <v>142</v>
      </c>
      <c r="D48">
        <v>80</v>
      </c>
      <c r="E48">
        <v>0.3</v>
      </c>
      <c r="F48">
        <v>2</v>
      </c>
      <c r="G48">
        <v>20</v>
      </c>
      <c r="H48">
        <v>11</v>
      </c>
      <c r="I48">
        <v>40</v>
      </c>
      <c r="J48" t="s">
        <v>180</v>
      </c>
      <c r="N48">
        <f>(1/E48)*D48</f>
        <v>266.66666666666669</v>
      </c>
    </row>
    <row r="49" spans="1:20" x14ac:dyDescent="0.4">
      <c r="A49">
        <v>5</v>
      </c>
      <c r="B49" t="s">
        <v>22</v>
      </c>
      <c r="C49" t="s">
        <v>17</v>
      </c>
      <c r="D49">
        <v>0</v>
      </c>
      <c r="E49">
        <v>0.6</v>
      </c>
      <c r="F49">
        <v>1</v>
      </c>
      <c r="G49">
        <v>0</v>
      </c>
      <c r="H49">
        <v>0</v>
      </c>
      <c r="I49">
        <v>0</v>
      </c>
      <c r="J49" t="s">
        <v>124</v>
      </c>
      <c r="T49" t="s">
        <v>85</v>
      </c>
    </row>
    <row r="50" spans="1:20" x14ac:dyDescent="0.4">
      <c r="T50" t="s">
        <v>87</v>
      </c>
    </row>
    <row r="51" spans="1:20" x14ac:dyDescent="0.4">
      <c r="A51">
        <v>6</v>
      </c>
      <c r="B51" t="s">
        <v>22</v>
      </c>
      <c r="C51" t="s">
        <v>142</v>
      </c>
      <c r="D51">
        <v>80</v>
      </c>
      <c r="E51">
        <v>0.3</v>
      </c>
      <c r="F51">
        <v>2</v>
      </c>
      <c r="G51">
        <v>20</v>
      </c>
      <c r="H51">
        <v>11</v>
      </c>
      <c r="I51">
        <v>40</v>
      </c>
      <c r="J51" t="s">
        <v>180</v>
      </c>
      <c r="N51">
        <f>(1/E51)*D51</f>
        <v>266.66666666666669</v>
      </c>
      <c r="T51" t="s">
        <v>86</v>
      </c>
    </row>
    <row r="52" spans="1:20" x14ac:dyDescent="0.4">
      <c r="A52">
        <v>6</v>
      </c>
      <c r="B52" t="s">
        <v>22</v>
      </c>
      <c r="C52" t="s">
        <v>17</v>
      </c>
      <c r="D52">
        <v>0</v>
      </c>
      <c r="E52">
        <v>0.6</v>
      </c>
      <c r="F52">
        <v>1</v>
      </c>
      <c r="G52">
        <v>0</v>
      </c>
      <c r="H52">
        <v>0</v>
      </c>
      <c r="I52">
        <v>0</v>
      </c>
      <c r="J52" t="s">
        <v>124</v>
      </c>
      <c r="T52" t="s">
        <v>88</v>
      </c>
    </row>
    <row r="54" spans="1:20" x14ac:dyDescent="0.4">
      <c r="A54">
        <v>7</v>
      </c>
      <c r="B54" t="s">
        <v>22</v>
      </c>
      <c r="C54" t="s">
        <v>142</v>
      </c>
      <c r="D54">
        <v>80</v>
      </c>
      <c r="E54">
        <v>0.3</v>
      </c>
      <c r="F54">
        <v>3</v>
      </c>
      <c r="G54">
        <v>20</v>
      </c>
      <c r="H54">
        <v>12</v>
      </c>
      <c r="I54">
        <v>40</v>
      </c>
      <c r="J54" t="s">
        <v>180</v>
      </c>
      <c r="N54">
        <f>(1/E54)*D54</f>
        <v>266.66666666666669</v>
      </c>
      <c r="T54" t="s">
        <v>107</v>
      </c>
    </row>
    <row r="55" spans="1:20" x14ac:dyDescent="0.4">
      <c r="A55">
        <v>7</v>
      </c>
      <c r="B55" t="s">
        <v>22</v>
      </c>
      <c r="C55" t="s">
        <v>17</v>
      </c>
      <c r="D55">
        <v>0</v>
      </c>
      <c r="E55">
        <v>0.5</v>
      </c>
      <c r="F55">
        <v>1</v>
      </c>
      <c r="G55">
        <v>0</v>
      </c>
      <c r="H55">
        <v>0</v>
      </c>
      <c r="I55">
        <v>0</v>
      </c>
      <c r="J55" t="s">
        <v>124</v>
      </c>
    </row>
    <row r="56" spans="1:20" x14ac:dyDescent="0.4">
      <c r="T56" t="s">
        <v>112</v>
      </c>
    </row>
    <row r="57" spans="1:20" x14ac:dyDescent="0.4">
      <c r="A57" t="s">
        <v>14</v>
      </c>
      <c r="B57" t="s">
        <v>15</v>
      </c>
      <c r="D57" t="s">
        <v>16</v>
      </c>
      <c r="E57" t="s">
        <v>17</v>
      </c>
      <c r="F57" t="s">
        <v>18</v>
      </c>
      <c r="G57" t="s">
        <v>19</v>
      </c>
      <c r="H57" t="s">
        <v>20</v>
      </c>
      <c r="I57" t="s">
        <v>170</v>
      </c>
      <c r="J57" t="s">
        <v>21</v>
      </c>
      <c r="K57" t="s">
        <v>179</v>
      </c>
      <c r="P57" t="s">
        <v>135</v>
      </c>
      <c r="T57" t="s">
        <v>108</v>
      </c>
    </row>
    <row r="58" spans="1:20" x14ac:dyDescent="0.4">
      <c r="A58">
        <v>1</v>
      </c>
      <c r="B58" t="s">
        <v>25</v>
      </c>
      <c r="C58" t="s">
        <v>143</v>
      </c>
      <c r="D58">
        <v>100</v>
      </c>
      <c r="E58">
        <v>0.6</v>
      </c>
      <c r="F58">
        <v>1</v>
      </c>
      <c r="G58">
        <v>28</v>
      </c>
      <c r="H58">
        <v>5</v>
      </c>
      <c r="I58">
        <v>2</v>
      </c>
      <c r="J58">
        <v>5</v>
      </c>
      <c r="K58">
        <v>3</v>
      </c>
      <c r="L58" t="s">
        <v>145</v>
      </c>
      <c r="P58">
        <f>(1/E58)*D58</f>
        <v>166.66666666666669</v>
      </c>
      <c r="T58" t="s">
        <v>111</v>
      </c>
    </row>
    <row r="59" spans="1:20" x14ac:dyDescent="0.4">
      <c r="A59">
        <v>1</v>
      </c>
      <c r="B59" t="s">
        <v>25</v>
      </c>
      <c r="C59" t="s">
        <v>144</v>
      </c>
      <c r="D59">
        <v>100</v>
      </c>
      <c r="E59">
        <v>0.9</v>
      </c>
      <c r="F59">
        <v>1</v>
      </c>
      <c r="G59">
        <v>28</v>
      </c>
      <c r="H59">
        <v>8</v>
      </c>
      <c r="I59">
        <v>0.5</v>
      </c>
      <c r="J59">
        <v>200</v>
      </c>
      <c r="K59">
        <v>8</v>
      </c>
      <c r="L59" t="s">
        <v>127</v>
      </c>
      <c r="P59">
        <f>(1/E59)*D59</f>
        <v>111.11111111111111</v>
      </c>
      <c r="T59" t="s">
        <v>108</v>
      </c>
    </row>
    <row r="60" spans="1:20" x14ac:dyDescent="0.4">
      <c r="T60" t="s">
        <v>110</v>
      </c>
    </row>
    <row r="61" spans="1:20" x14ac:dyDescent="0.4">
      <c r="A61">
        <v>2</v>
      </c>
      <c r="B61" t="s">
        <v>25</v>
      </c>
      <c r="C61" t="s">
        <v>143</v>
      </c>
      <c r="D61">
        <v>100</v>
      </c>
      <c r="E61">
        <v>0.6</v>
      </c>
      <c r="F61">
        <v>1</v>
      </c>
      <c r="G61">
        <v>28</v>
      </c>
      <c r="H61">
        <v>5</v>
      </c>
      <c r="I61">
        <v>2</v>
      </c>
      <c r="J61">
        <v>5</v>
      </c>
      <c r="K61">
        <v>3</v>
      </c>
      <c r="L61" t="s">
        <v>145</v>
      </c>
      <c r="P61">
        <f>(1/E61)*D61</f>
        <v>166.66666666666669</v>
      </c>
      <c r="T61" t="s">
        <v>108</v>
      </c>
    </row>
    <row r="62" spans="1:20" x14ac:dyDescent="0.4">
      <c r="A62">
        <v>2</v>
      </c>
      <c r="B62" t="s">
        <v>25</v>
      </c>
      <c r="C62" t="s">
        <v>144</v>
      </c>
      <c r="D62">
        <v>100</v>
      </c>
      <c r="E62">
        <v>0.9</v>
      </c>
      <c r="F62">
        <v>1</v>
      </c>
      <c r="G62">
        <v>28</v>
      </c>
      <c r="H62">
        <v>8</v>
      </c>
      <c r="I62">
        <v>0.5</v>
      </c>
      <c r="J62">
        <v>200</v>
      </c>
      <c r="K62">
        <v>8</v>
      </c>
      <c r="L62" t="s">
        <v>127</v>
      </c>
      <c r="P62">
        <f>(1/E62)*D62</f>
        <v>111.11111111111111</v>
      </c>
      <c r="T62" t="s">
        <v>109</v>
      </c>
    </row>
    <row r="64" spans="1:20" x14ac:dyDescent="0.4">
      <c r="A64">
        <v>3</v>
      </c>
      <c r="B64" t="s">
        <v>25</v>
      </c>
      <c r="C64" t="s">
        <v>143</v>
      </c>
      <c r="D64">
        <v>100</v>
      </c>
      <c r="E64">
        <v>0.6</v>
      </c>
      <c r="F64">
        <v>2</v>
      </c>
      <c r="G64">
        <v>28</v>
      </c>
      <c r="H64">
        <v>5</v>
      </c>
      <c r="I64">
        <v>2</v>
      </c>
      <c r="J64">
        <v>5</v>
      </c>
      <c r="K64">
        <v>3</v>
      </c>
      <c r="L64" t="s">
        <v>145</v>
      </c>
      <c r="P64">
        <f>(1/E64)*D64</f>
        <v>166.66666666666669</v>
      </c>
    </row>
    <row r="65" spans="1:16" x14ac:dyDescent="0.4">
      <c r="A65">
        <v>3</v>
      </c>
      <c r="B65" t="s">
        <v>25</v>
      </c>
      <c r="C65" t="s">
        <v>144</v>
      </c>
      <c r="D65">
        <v>100</v>
      </c>
      <c r="E65">
        <v>0.9</v>
      </c>
      <c r="F65">
        <v>1</v>
      </c>
      <c r="G65">
        <v>28</v>
      </c>
      <c r="H65">
        <v>8</v>
      </c>
      <c r="I65">
        <v>0.5</v>
      </c>
      <c r="J65">
        <v>200</v>
      </c>
      <c r="K65">
        <v>8</v>
      </c>
      <c r="L65" t="s">
        <v>127</v>
      </c>
      <c r="P65">
        <f>(1/E65)*D65</f>
        <v>111.11111111111111</v>
      </c>
    </row>
    <row r="67" spans="1:16" x14ac:dyDescent="0.4">
      <c r="A67">
        <v>4</v>
      </c>
      <c r="B67" t="s">
        <v>25</v>
      </c>
      <c r="C67" t="s">
        <v>143</v>
      </c>
      <c r="D67">
        <v>100</v>
      </c>
      <c r="E67">
        <v>0.6</v>
      </c>
      <c r="F67">
        <v>2</v>
      </c>
      <c r="G67">
        <v>28</v>
      </c>
      <c r="H67">
        <v>5</v>
      </c>
      <c r="I67">
        <v>2</v>
      </c>
      <c r="J67">
        <v>5</v>
      </c>
      <c r="K67">
        <v>3</v>
      </c>
      <c r="L67" t="s">
        <v>145</v>
      </c>
      <c r="P67">
        <f>(1/E67)*D67</f>
        <v>166.66666666666669</v>
      </c>
    </row>
    <row r="68" spans="1:16" x14ac:dyDescent="0.4">
      <c r="A68">
        <v>4</v>
      </c>
      <c r="B68" t="s">
        <v>25</v>
      </c>
      <c r="C68" t="s">
        <v>144</v>
      </c>
      <c r="D68">
        <v>100</v>
      </c>
      <c r="E68">
        <v>0.9</v>
      </c>
      <c r="F68">
        <v>1</v>
      </c>
      <c r="G68">
        <v>28</v>
      </c>
      <c r="H68">
        <v>8</v>
      </c>
      <c r="I68">
        <v>0.5</v>
      </c>
      <c r="J68">
        <v>200</v>
      </c>
      <c r="K68">
        <v>8</v>
      </c>
      <c r="L68" t="s">
        <v>127</v>
      </c>
      <c r="P68">
        <f>(1/E68)*D68</f>
        <v>111.11111111111111</v>
      </c>
    </row>
    <row r="70" spans="1:16" x14ac:dyDescent="0.4">
      <c r="A70">
        <v>5</v>
      </c>
      <c r="B70" t="s">
        <v>25</v>
      </c>
      <c r="C70" t="s">
        <v>143</v>
      </c>
      <c r="D70">
        <v>100</v>
      </c>
      <c r="E70">
        <v>0.6</v>
      </c>
      <c r="F70">
        <v>3</v>
      </c>
      <c r="G70">
        <v>28</v>
      </c>
      <c r="H70">
        <v>5</v>
      </c>
      <c r="I70">
        <v>2</v>
      </c>
      <c r="J70">
        <v>5</v>
      </c>
      <c r="K70">
        <v>3</v>
      </c>
      <c r="L70" t="s">
        <v>145</v>
      </c>
      <c r="P70">
        <f>(1/E70)*D70</f>
        <v>166.66666666666669</v>
      </c>
    </row>
    <row r="71" spans="1:16" x14ac:dyDescent="0.4">
      <c r="A71">
        <v>5</v>
      </c>
      <c r="B71" t="s">
        <v>25</v>
      </c>
      <c r="C71" t="s">
        <v>144</v>
      </c>
      <c r="D71">
        <v>100</v>
      </c>
      <c r="E71">
        <v>0.9</v>
      </c>
      <c r="F71">
        <v>1</v>
      </c>
      <c r="G71">
        <v>28</v>
      </c>
      <c r="H71">
        <v>8</v>
      </c>
      <c r="I71">
        <v>0.5</v>
      </c>
      <c r="J71">
        <v>200</v>
      </c>
      <c r="K71">
        <v>8</v>
      </c>
      <c r="L71" t="s">
        <v>127</v>
      </c>
      <c r="P71">
        <f>(1/E71)*D71</f>
        <v>111.11111111111111</v>
      </c>
    </row>
    <row r="73" spans="1:16" x14ac:dyDescent="0.4">
      <c r="A73">
        <v>6</v>
      </c>
      <c r="B73" t="s">
        <v>25</v>
      </c>
      <c r="C73" t="s">
        <v>143</v>
      </c>
      <c r="D73">
        <v>100</v>
      </c>
      <c r="E73">
        <v>0.6</v>
      </c>
      <c r="F73">
        <v>3</v>
      </c>
      <c r="G73">
        <v>28</v>
      </c>
      <c r="H73">
        <v>5</v>
      </c>
      <c r="I73">
        <v>2</v>
      </c>
      <c r="J73">
        <v>5</v>
      </c>
      <c r="K73">
        <v>3</v>
      </c>
      <c r="L73" t="s">
        <v>145</v>
      </c>
      <c r="P73">
        <f>(1/E73)*D73</f>
        <v>166.66666666666669</v>
      </c>
    </row>
    <row r="74" spans="1:16" x14ac:dyDescent="0.4">
      <c r="A74">
        <v>6</v>
      </c>
      <c r="B74" t="s">
        <v>25</v>
      </c>
      <c r="C74" t="s">
        <v>144</v>
      </c>
      <c r="D74">
        <v>100</v>
      </c>
      <c r="E74">
        <v>0.9</v>
      </c>
      <c r="F74">
        <v>1</v>
      </c>
      <c r="G74">
        <v>28</v>
      </c>
      <c r="H74">
        <v>8</v>
      </c>
      <c r="I74">
        <v>0.5</v>
      </c>
      <c r="J74">
        <v>200</v>
      </c>
      <c r="K74">
        <v>8</v>
      </c>
      <c r="L74" t="s">
        <v>127</v>
      </c>
      <c r="P74">
        <f>(1/E74)*D74</f>
        <v>111.11111111111111</v>
      </c>
    </row>
    <row r="76" spans="1:16" x14ac:dyDescent="0.4">
      <c r="A76">
        <v>7</v>
      </c>
      <c r="B76" t="s">
        <v>25</v>
      </c>
      <c r="C76" t="s">
        <v>143</v>
      </c>
      <c r="D76">
        <v>100</v>
      </c>
      <c r="E76">
        <v>0.6</v>
      </c>
      <c r="F76">
        <v>4</v>
      </c>
      <c r="G76">
        <v>28</v>
      </c>
      <c r="H76">
        <v>5</v>
      </c>
      <c r="I76">
        <v>2</v>
      </c>
      <c r="J76">
        <v>5</v>
      </c>
      <c r="K76">
        <v>3</v>
      </c>
      <c r="L76" t="s">
        <v>145</v>
      </c>
      <c r="P76">
        <f>(1/E76)*D76</f>
        <v>166.66666666666669</v>
      </c>
    </row>
    <row r="77" spans="1:16" x14ac:dyDescent="0.4">
      <c r="A77">
        <v>7</v>
      </c>
      <c r="B77" t="s">
        <v>25</v>
      </c>
      <c r="C77" t="s">
        <v>144</v>
      </c>
      <c r="D77">
        <v>100</v>
      </c>
      <c r="E77">
        <v>0.9</v>
      </c>
      <c r="F77">
        <v>1</v>
      </c>
      <c r="G77">
        <v>28</v>
      </c>
      <c r="H77">
        <v>8</v>
      </c>
      <c r="I77">
        <v>0.5</v>
      </c>
      <c r="J77">
        <v>200</v>
      </c>
      <c r="K77">
        <v>8</v>
      </c>
      <c r="L77" t="s">
        <v>127</v>
      </c>
      <c r="P77">
        <f>(1/E77)*D77</f>
        <v>111.11111111111111</v>
      </c>
    </row>
    <row r="79" spans="1:16" x14ac:dyDescent="0.4">
      <c r="A79" t="s">
        <v>32</v>
      </c>
    </row>
    <row r="80" spans="1:16" x14ac:dyDescent="0.4">
      <c r="A80" t="s">
        <v>33</v>
      </c>
    </row>
    <row r="81" spans="1:4" x14ac:dyDescent="0.4">
      <c r="A81" t="s">
        <v>193</v>
      </c>
    </row>
    <row r="82" spans="1:4" x14ac:dyDescent="0.4">
      <c r="A82" t="s">
        <v>148</v>
      </c>
    </row>
    <row r="84" spans="1:4" x14ac:dyDescent="0.4">
      <c r="A84" t="s">
        <v>34</v>
      </c>
    </row>
    <row r="85" spans="1:4" x14ac:dyDescent="0.4">
      <c r="A85" t="s">
        <v>194</v>
      </c>
    </row>
    <row r="86" spans="1:4" x14ac:dyDescent="0.4">
      <c r="A86" t="s">
        <v>149</v>
      </c>
    </row>
    <row r="88" spans="1:4" x14ac:dyDescent="0.4">
      <c r="A88" t="s">
        <v>35</v>
      </c>
    </row>
    <row r="89" spans="1:4" x14ac:dyDescent="0.4">
      <c r="A89" t="s">
        <v>36</v>
      </c>
    </row>
    <row r="90" spans="1:4" x14ac:dyDescent="0.4">
      <c r="A90" t="s">
        <v>37</v>
      </c>
      <c r="B90" t="s">
        <v>96</v>
      </c>
      <c r="D90" t="s">
        <v>134</v>
      </c>
    </row>
    <row r="91" spans="1:4" x14ac:dyDescent="0.4">
      <c r="A91" t="s">
        <v>186</v>
      </c>
    </row>
    <row r="92" spans="1:4" x14ac:dyDescent="0.4">
      <c r="A92" t="s">
        <v>150</v>
      </c>
    </row>
    <row r="93" spans="1:4" x14ac:dyDescent="0.4">
      <c r="A93" t="s">
        <v>173</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99D84-1F2C-4291-8794-B76CD74047D9}">
  <dimension ref="A1:AC94"/>
  <sheetViews>
    <sheetView topLeftCell="A56" workbookViewId="0">
      <selection activeCell="G76" sqref="G76"/>
    </sheetView>
  </sheetViews>
  <sheetFormatPr defaultRowHeight="18.75" x14ac:dyDescent="0.4"/>
  <sheetData>
    <row r="1" spans="1:29" x14ac:dyDescent="0.4">
      <c r="A1" t="s">
        <v>49</v>
      </c>
      <c r="P1" t="s">
        <v>65</v>
      </c>
      <c r="Z1" t="s">
        <v>90</v>
      </c>
    </row>
    <row r="2" spans="1:29" x14ac:dyDescent="0.4">
      <c r="A2" t="s">
        <v>1</v>
      </c>
      <c r="B2">
        <v>950</v>
      </c>
      <c r="C2" t="s">
        <v>2</v>
      </c>
      <c r="P2" t="s">
        <v>14</v>
      </c>
      <c r="Z2" s="9">
        <v>1</v>
      </c>
      <c r="AA2" s="9">
        <v>125</v>
      </c>
      <c r="AB2" t="s">
        <v>91</v>
      </c>
    </row>
    <row r="3" spans="1:29" x14ac:dyDescent="0.4">
      <c r="A3" t="s">
        <v>3</v>
      </c>
      <c r="B3">
        <v>1050</v>
      </c>
      <c r="C3" t="s">
        <v>2</v>
      </c>
      <c r="P3" t="s">
        <v>77</v>
      </c>
      <c r="Z3" s="9">
        <v>2</v>
      </c>
      <c r="AA3" s="9">
        <v>250</v>
      </c>
    </row>
    <row r="4" spans="1:29" x14ac:dyDescent="0.4">
      <c r="A4" t="s">
        <v>4</v>
      </c>
      <c r="B4">
        <v>100</v>
      </c>
      <c r="C4" t="s">
        <v>2</v>
      </c>
      <c r="P4" t="s">
        <v>78</v>
      </c>
      <c r="Q4" t="s">
        <v>79</v>
      </c>
      <c r="Z4" s="9">
        <v>3</v>
      </c>
      <c r="AA4" s="9">
        <v>500</v>
      </c>
      <c r="AC4" t="s">
        <v>92</v>
      </c>
    </row>
    <row r="5" spans="1:29" x14ac:dyDescent="0.4">
      <c r="A5" t="s">
        <v>169</v>
      </c>
      <c r="B5">
        <v>62</v>
      </c>
      <c r="D5" t="s">
        <v>174</v>
      </c>
      <c r="E5" t="s">
        <v>177</v>
      </c>
      <c r="P5" t="s">
        <v>80</v>
      </c>
      <c r="Q5" t="s">
        <v>81</v>
      </c>
      <c r="Z5" s="9">
        <v>4</v>
      </c>
      <c r="AA5" s="9">
        <v>1000</v>
      </c>
      <c r="AC5" t="s">
        <v>93</v>
      </c>
    </row>
    <row r="6" spans="1:29" x14ac:dyDescent="0.4">
      <c r="A6" t="s">
        <v>161</v>
      </c>
      <c r="Z6" s="9">
        <v>5</v>
      </c>
      <c r="AA6" s="9">
        <v>2000</v>
      </c>
    </row>
    <row r="7" spans="1:29" x14ac:dyDescent="0.4">
      <c r="A7" t="s">
        <v>162</v>
      </c>
      <c r="P7" t="s">
        <v>69</v>
      </c>
      <c r="R7" t="s">
        <v>72</v>
      </c>
      <c r="Z7" s="9">
        <v>6</v>
      </c>
      <c r="AA7" s="9">
        <v>4000</v>
      </c>
    </row>
    <row r="8" spans="1:29" x14ac:dyDescent="0.4">
      <c r="P8" t="s">
        <v>70</v>
      </c>
      <c r="R8" t="s">
        <v>73</v>
      </c>
      <c r="Z8" s="9">
        <v>7</v>
      </c>
      <c r="AA8" s="9">
        <v>8000</v>
      </c>
    </row>
    <row r="9" spans="1:29" x14ac:dyDescent="0.4">
      <c r="P9" t="s">
        <v>71</v>
      </c>
      <c r="R9" t="s">
        <v>74</v>
      </c>
      <c r="Z9" s="9">
        <v>8</v>
      </c>
      <c r="AA9" s="9">
        <v>16000</v>
      </c>
    </row>
    <row r="10" spans="1:29" x14ac:dyDescent="0.4">
      <c r="Z10" s="9">
        <v>9</v>
      </c>
      <c r="AA10" s="9">
        <v>32000</v>
      </c>
    </row>
    <row r="11" spans="1:29" x14ac:dyDescent="0.4">
      <c r="A11" t="s">
        <v>5</v>
      </c>
      <c r="B11">
        <v>1</v>
      </c>
      <c r="P11" t="s">
        <v>75</v>
      </c>
      <c r="Z11" s="9">
        <v>10</v>
      </c>
      <c r="AA11" s="9">
        <v>64000</v>
      </c>
    </row>
    <row r="12" spans="1:29" x14ac:dyDescent="0.4">
      <c r="A12" t="s">
        <v>6</v>
      </c>
      <c r="B12">
        <v>4</v>
      </c>
      <c r="C12" t="s">
        <v>151</v>
      </c>
      <c r="P12" t="s">
        <v>76</v>
      </c>
      <c r="Z12" s="9">
        <v>11</v>
      </c>
      <c r="AA12" s="9">
        <v>128000</v>
      </c>
    </row>
    <row r="13" spans="1:29" x14ac:dyDescent="0.4">
      <c r="A13" t="s">
        <v>8</v>
      </c>
      <c r="B13" t="s">
        <v>152</v>
      </c>
      <c r="Z13" s="9">
        <v>12</v>
      </c>
      <c r="AA13" s="9">
        <v>256000</v>
      </c>
    </row>
    <row r="14" spans="1:29" x14ac:dyDescent="0.4">
      <c r="A14" t="s">
        <v>10</v>
      </c>
      <c r="B14" t="s">
        <v>153</v>
      </c>
      <c r="P14" s="9" t="s">
        <v>63</v>
      </c>
      <c r="Q14" s="9" t="s">
        <v>64</v>
      </c>
      <c r="S14" t="s">
        <v>66</v>
      </c>
      <c r="Z14" s="9">
        <v>13</v>
      </c>
      <c r="AA14" s="9">
        <v>500000</v>
      </c>
    </row>
    <row r="15" spans="1:29" x14ac:dyDescent="0.4">
      <c r="A15" t="s">
        <v>12</v>
      </c>
      <c r="B15" t="s">
        <v>154</v>
      </c>
      <c r="P15" s="9">
        <v>0</v>
      </c>
      <c r="Q15" s="9">
        <v>100</v>
      </c>
      <c r="S15" t="s">
        <v>55</v>
      </c>
    </row>
    <row r="16" spans="1:29" x14ac:dyDescent="0.4">
      <c r="P16" s="9">
        <v>1</v>
      </c>
      <c r="Q16" s="9">
        <v>200</v>
      </c>
      <c r="S16" t="s">
        <v>56</v>
      </c>
    </row>
    <row r="17" spans="1:19" x14ac:dyDescent="0.4">
      <c r="B17" t="s">
        <v>131</v>
      </c>
      <c r="P17" s="9">
        <v>2</v>
      </c>
      <c r="Q17" s="9">
        <v>300</v>
      </c>
      <c r="S17" t="s">
        <v>57</v>
      </c>
    </row>
    <row r="18" spans="1:19" x14ac:dyDescent="0.4">
      <c r="B18" t="s">
        <v>130</v>
      </c>
      <c r="P18" s="9"/>
      <c r="Q18" s="9"/>
    </row>
    <row r="19" spans="1:19" x14ac:dyDescent="0.4">
      <c r="B19" t="s">
        <v>132</v>
      </c>
      <c r="P19" s="9"/>
      <c r="Q19" s="9"/>
    </row>
    <row r="20" spans="1:19" x14ac:dyDescent="0.4">
      <c r="A20" t="s">
        <v>121</v>
      </c>
      <c r="B20" t="s">
        <v>122</v>
      </c>
      <c r="P20" s="9">
        <v>3</v>
      </c>
      <c r="Q20" s="9">
        <v>400</v>
      </c>
      <c r="S20" t="s">
        <v>58</v>
      </c>
    </row>
    <row r="21" spans="1:19" x14ac:dyDescent="0.4">
      <c r="A21" t="s">
        <v>14</v>
      </c>
      <c r="B21" t="s">
        <v>15</v>
      </c>
      <c r="D21" t="s">
        <v>16</v>
      </c>
      <c r="E21" t="s">
        <v>17</v>
      </c>
      <c r="F21" t="s">
        <v>18</v>
      </c>
      <c r="G21" t="s">
        <v>19</v>
      </c>
      <c r="H21" t="s">
        <v>20</v>
      </c>
      <c r="I21" t="s">
        <v>21</v>
      </c>
      <c r="P21" s="9">
        <v>4</v>
      </c>
      <c r="Q21" s="9">
        <v>500</v>
      </c>
      <c r="S21" t="s">
        <v>59</v>
      </c>
    </row>
    <row r="22" spans="1:19" x14ac:dyDescent="0.4">
      <c r="A22">
        <v>1</v>
      </c>
      <c r="B22" t="s">
        <v>22</v>
      </c>
      <c r="C22" t="s">
        <v>155</v>
      </c>
      <c r="D22">
        <v>10</v>
      </c>
      <c r="E22">
        <v>0.5</v>
      </c>
      <c r="F22">
        <v>2</v>
      </c>
      <c r="G22">
        <v>32</v>
      </c>
      <c r="H22">
        <v>18</v>
      </c>
      <c r="I22">
        <v>5</v>
      </c>
      <c r="J22" t="s">
        <v>198</v>
      </c>
      <c r="P22" s="9">
        <v>5</v>
      </c>
      <c r="Q22" s="9">
        <v>600</v>
      </c>
      <c r="S22" t="s">
        <v>60</v>
      </c>
    </row>
    <row r="23" spans="1:19" x14ac:dyDescent="0.4">
      <c r="A23">
        <v>1</v>
      </c>
      <c r="B23" t="s">
        <v>22</v>
      </c>
      <c r="C23" t="s">
        <v>17</v>
      </c>
      <c r="D23">
        <v>0</v>
      </c>
      <c r="E23">
        <v>0.9</v>
      </c>
      <c r="F23">
        <v>1</v>
      </c>
      <c r="G23">
        <v>0</v>
      </c>
      <c r="H23">
        <v>0</v>
      </c>
      <c r="I23">
        <v>0</v>
      </c>
      <c r="J23" t="s">
        <v>124</v>
      </c>
      <c r="P23" s="9">
        <v>6</v>
      </c>
      <c r="Q23" s="9">
        <v>700</v>
      </c>
      <c r="S23" t="s">
        <v>61</v>
      </c>
    </row>
    <row r="24" spans="1:19" x14ac:dyDescent="0.4">
      <c r="P24" s="9">
        <v>7</v>
      </c>
      <c r="Q24" s="9">
        <v>800</v>
      </c>
      <c r="S24" t="s">
        <v>62</v>
      </c>
    </row>
    <row r="25" spans="1:19" x14ac:dyDescent="0.4">
      <c r="P25" s="9">
        <v>8</v>
      </c>
      <c r="Q25" s="9">
        <v>900</v>
      </c>
    </row>
    <row r="26" spans="1:19" x14ac:dyDescent="0.4">
      <c r="P26" s="9">
        <v>9</v>
      </c>
      <c r="Q26" s="9">
        <v>1000</v>
      </c>
    </row>
    <row r="27" spans="1:19" x14ac:dyDescent="0.4">
      <c r="A27" t="s">
        <v>14</v>
      </c>
      <c r="B27" t="s">
        <v>15</v>
      </c>
      <c r="D27" t="s">
        <v>16</v>
      </c>
      <c r="E27" t="s">
        <v>17</v>
      </c>
      <c r="F27" t="s">
        <v>18</v>
      </c>
      <c r="G27" t="s">
        <v>19</v>
      </c>
      <c r="H27" t="s">
        <v>20</v>
      </c>
      <c r="I27" t="s">
        <v>21</v>
      </c>
      <c r="P27" s="9">
        <v>10</v>
      </c>
      <c r="Q27" s="9">
        <v>1100</v>
      </c>
    </row>
    <row r="28" spans="1:19" x14ac:dyDescent="0.4">
      <c r="A28">
        <v>1</v>
      </c>
      <c r="B28" t="s">
        <v>25</v>
      </c>
      <c r="C28" t="s">
        <v>156</v>
      </c>
      <c r="D28">
        <v>50</v>
      </c>
      <c r="E28">
        <v>0.3</v>
      </c>
      <c r="F28">
        <v>1</v>
      </c>
      <c r="G28">
        <v>25</v>
      </c>
      <c r="H28">
        <v>4</v>
      </c>
      <c r="I28">
        <v>10</v>
      </c>
      <c r="J28" t="s">
        <v>157</v>
      </c>
      <c r="P28" s="9">
        <v>11</v>
      </c>
      <c r="Q28" s="9">
        <v>1200</v>
      </c>
    </row>
    <row r="29" spans="1:19" x14ac:dyDescent="0.4">
      <c r="A29">
        <v>1</v>
      </c>
      <c r="B29" t="s">
        <v>25</v>
      </c>
      <c r="C29" t="s">
        <v>155</v>
      </c>
      <c r="D29">
        <v>10</v>
      </c>
      <c r="E29">
        <v>1</v>
      </c>
      <c r="F29">
        <v>1</v>
      </c>
      <c r="G29">
        <v>32</v>
      </c>
      <c r="H29">
        <v>8</v>
      </c>
      <c r="I29">
        <v>5</v>
      </c>
      <c r="J29" t="s">
        <v>158</v>
      </c>
      <c r="P29" s="9">
        <v>12</v>
      </c>
      <c r="Q29" s="9">
        <v>1300</v>
      </c>
    </row>
    <row r="31" spans="1:19" x14ac:dyDescent="0.4">
      <c r="B31" t="s">
        <v>159</v>
      </c>
      <c r="P31" t="s">
        <v>82</v>
      </c>
    </row>
    <row r="32" spans="1:19" x14ac:dyDescent="0.4">
      <c r="B32" t="s">
        <v>160</v>
      </c>
      <c r="P32" t="s">
        <v>83</v>
      </c>
      <c r="R32" t="s">
        <v>84</v>
      </c>
    </row>
    <row r="33" spans="1:23" x14ac:dyDescent="0.4">
      <c r="R33" t="s">
        <v>94</v>
      </c>
    </row>
    <row r="34" spans="1:23" x14ac:dyDescent="0.4">
      <c r="R34" s="9" t="s">
        <v>14</v>
      </c>
      <c r="S34" s="9">
        <v>1</v>
      </c>
      <c r="T34" s="9">
        <v>4</v>
      </c>
      <c r="U34" s="9">
        <v>8</v>
      </c>
      <c r="V34" s="9">
        <v>13</v>
      </c>
      <c r="W34" s="9">
        <v>19</v>
      </c>
    </row>
    <row r="35" spans="1:23" x14ac:dyDescent="0.4">
      <c r="A35" t="s">
        <v>14</v>
      </c>
      <c r="B35" t="s">
        <v>15</v>
      </c>
      <c r="D35" t="s">
        <v>16</v>
      </c>
      <c r="E35" t="s">
        <v>17</v>
      </c>
      <c r="F35" t="s">
        <v>18</v>
      </c>
      <c r="G35" t="s">
        <v>19</v>
      </c>
      <c r="H35" t="s">
        <v>20</v>
      </c>
      <c r="I35" t="s">
        <v>21</v>
      </c>
      <c r="N35" t="s">
        <v>135</v>
      </c>
      <c r="R35" s="9" t="s">
        <v>95</v>
      </c>
      <c r="S35" s="9">
        <v>1</v>
      </c>
      <c r="T35" s="9">
        <v>2</v>
      </c>
      <c r="U35" s="9">
        <v>3</v>
      </c>
      <c r="V35" s="9">
        <v>4</v>
      </c>
      <c r="W35" s="9">
        <v>5</v>
      </c>
    </row>
    <row r="36" spans="1:23" x14ac:dyDescent="0.4">
      <c r="A36">
        <v>1</v>
      </c>
      <c r="B36" t="s">
        <v>22</v>
      </c>
      <c r="C36" t="s">
        <v>155</v>
      </c>
      <c r="D36">
        <v>10</v>
      </c>
      <c r="E36">
        <v>0.5</v>
      </c>
      <c r="F36">
        <v>2</v>
      </c>
      <c r="G36">
        <v>32</v>
      </c>
      <c r="H36">
        <v>15</v>
      </c>
      <c r="I36">
        <v>1</v>
      </c>
      <c r="J36" t="s">
        <v>199</v>
      </c>
      <c r="N36">
        <f>(1/E36)*D36*4</f>
        <v>80</v>
      </c>
    </row>
    <row r="37" spans="1:23" x14ac:dyDescent="0.4">
      <c r="A37">
        <v>1</v>
      </c>
      <c r="B37" t="s">
        <v>22</v>
      </c>
      <c r="C37" t="s">
        <v>17</v>
      </c>
      <c r="D37">
        <v>0</v>
      </c>
      <c r="E37">
        <v>0.9</v>
      </c>
      <c r="F37">
        <v>1</v>
      </c>
      <c r="G37">
        <v>0</v>
      </c>
      <c r="H37">
        <v>0</v>
      </c>
      <c r="I37">
        <v>0</v>
      </c>
      <c r="J37" t="s">
        <v>124</v>
      </c>
      <c r="P37" t="s">
        <v>98</v>
      </c>
      <c r="S37" t="s">
        <v>102</v>
      </c>
    </row>
    <row r="38" spans="1:23" x14ac:dyDescent="0.4">
      <c r="P38" t="s">
        <v>99</v>
      </c>
      <c r="S38" t="s">
        <v>103</v>
      </c>
    </row>
    <row r="39" spans="1:23" x14ac:dyDescent="0.4">
      <c r="A39">
        <v>2</v>
      </c>
      <c r="B39" t="s">
        <v>22</v>
      </c>
      <c r="C39" t="s">
        <v>155</v>
      </c>
      <c r="D39">
        <v>10</v>
      </c>
      <c r="E39">
        <v>0.48</v>
      </c>
      <c r="F39">
        <v>2</v>
      </c>
      <c r="G39">
        <v>32</v>
      </c>
      <c r="H39">
        <v>15</v>
      </c>
      <c r="I39">
        <v>1</v>
      </c>
      <c r="J39" t="s">
        <v>199</v>
      </c>
      <c r="N39">
        <f>(1/E39)*D39*4</f>
        <v>83.333333333333343</v>
      </c>
      <c r="Q39" t="s">
        <v>100</v>
      </c>
    </row>
    <row r="40" spans="1:23" x14ac:dyDescent="0.4">
      <c r="A40">
        <v>2</v>
      </c>
      <c r="B40" t="s">
        <v>22</v>
      </c>
      <c r="C40" t="s">
        <v>17</v>
      </c>
      <c r="D40">
        <v>0</v>
      </c>
      <c r="E40">
        <v>0.88</v>
      </c>
      <c r="F40">
        <v>1</v>
      </c>
      <c r="G40">
        <v>0</v>
      </c>
      <c r="H40">
        <v>0</v>
      </c>
      <c r="I40">
        <v>0</v>
      </c>
      <c r="J40" t="s">
        <v>124</v>
      </c>
      <c r="Q40" t="s">
        <v>101</v>
      </c>
    </row>
    <row r="42" spans="1:23" x14ac:dyDescent="0.4">
      <c r="A42">
        <v>3</v>
      </c>
      <c r="B42" t="s">
        <v>22</v>
      </c>
      <c r="C42" t="s">
        <v>155</v>
      </c>
      <c r="D42">
        <v>10</v>
      </c>
      <c r="E42">
        <v>0.46</v>
      </c>
      <c r="F42">
        <v>2</v>
      </c>
      <c r="G42">
        <v>32</v>
      </c>
      <c r="H42">
        <v>15</v>
      </c>
      <c r="I42">
        <v>1</v>
      </c>
      <c r="J42" t="s">
        <v>199</v>
      </c>
      <c r="N42">
        <f>(1/E42)*D42*4</f>
        <v>86.956521739130437</v>
      </c>
      <c r="P42" t="s">
        <v>104</v>
      </c>
      <c r="S42" t="s">
        <v>105</v>
      </c>
    </row>
    <row r="43" spans="1:23" x14ac:dyDescent="0.4">
      <c r="A43">
        <v>3</v>
      </c>
      <c r="B43" t="s">
        <v>22</v>
      </c>
      <c r="C43" t="s">
        <v>17</v>
      </c>
      <c r="D43">
        <v>0</v>
      </c>
      <c r="E43">
        <v>0.86</v>
      </c>
      <c r="F43">
        <v>1</v>
      </c>
      <c r="G43">
        <v>0</v>
      </c>
      <c r="H43">
        <v>0</v>
      </c>
      <c r="I43">
        <v>0</v>
      </c>
      <c r="J43" t="s">
        <v>124</v>
      </c>
      <c r="Q43" t="s">
        <v>106</v>
      </c>
    </row>
    <row r="45" spans="1:23" x14ac:dyDescent="0.4">
      <c r="A45">
        <v>4</v>
      </c>
      <c r="B45" t="s">
        <v>22</v>
      </c>
      <c r="C45" t="s">
        <v>155</v>
      </c>
      <c r="D45">
        <v>10</v>
      </c>
      <c r="E45">
        <v>0.44</v>
      </c>
      <c r="F45">
        <v>3</v>
      </c>
      <c r="G45">
        <v>32</v>
      </c>
      <c r="H45">
        <v>15</v>
      </c>
      <c r="I45">
        <v>1</v>
      </c>
      <c r="J45" t="s">
        <v>200</v>
      </c>
      <c r="N45">
        <f>(1/E45)*D45*5</f>
        <v>113.63636363636365</v>
      </c>
    </row>
    <row r="46" spans="1:23" x14ac:dyDescent="0.4">
      <c r="A46">
        <v>4</v>
      </c>
      <c r="B46" t="s">
        <v>22</v>
      </c>
      <c r="C46" t="s">
        <v>17</v>
      </c>
      <c r="D46">
        <v>0</v>
      </c>
      <c r="E46">
        <v>0.84</v>
      </c>
      <c r="F46">
        <v>1</v>
      </c>
      <c r="G46">
        <v>0</v>
      </c>
      <c r="H46">
        <v>0</v>
      </c>
      <c r="I46">
        <v>0</v>
      </c>
      <c r="J46" t="s">
        <v>124</v>
      </c>
      <c r="T46" t="s">
        <v>67</v>
      </c>
    </row>
    <row r="47" spans="1:23" x14ac:dyDescent="0.4">
      <c r="T47" t="s">
        <v>68</v>
      </c>
    </row>
    <row r="48" spans="1:23" x14ac:dyDescent="0.4">
      <c r="A48">
        <v>5</v>
      </c>
      <c r="B48" t="s">
        <v>22</v>
      </c>
      <c r="C48" t="s">
        <v>155</v>
      </c>
      <c r="D48">
        <v>10</v>
      </c>
      <c r="E48">
        <v>0.42</v>
      </c>
      <c r="F48">
        <v>3</v>
      </c>
      <c r="G48">
        <v>32</v>
      </c>
      <c r="H48">
        <v>15</v>
      </c>
      <c r="I48">
        <v>1</v>
      </c>
      <c r="J48" t="s">
        <v>201</v>
      </c>
      <c r="N48">
        <f>(1/E48)*D48*5</f>
        <v>119.04761904761905</v>
      </c>
    </row>
    <row r="49" spans="1:20" x14ac:dyDescent="0.4">
      <c r="A49">
        <v>5</v>
      </c>
      <c r="B49" t="s">
        <v>22</v>
      </c>
      <c r="C49" t="s">
        <v>17</v>
      </c>
      <c r="D49">
        <v>0</v>
      </c>
      <c r="E49">
        <v>0.82</v>
      </c>
      <c r="F49">
        <v>1</v>
      </c>
      <c r="G49">
        <v>0</v>
      </c>
      <c r="H49">
        <v>0</v>
      </c>
      <c r="I49">
        <v>0</v>
      </c>
      <c r="J49" t="s">
        <v>124</v>
      </c>
      <c r="T49" t="s">
        <v>85</v>
      </c>
    </row>
    <row r="50" spans="1:20" x14ac:dyDescent="0.4">
      <c r="T50" t="s">
        <v>87</v>
      </c>
    </row>
    <row r="51" spans="1:20" x14ac:dyDescent="0.4">
      <c r="A51">
        <v>6</v>
      </c>
      <c r="B51" t="s">
        <v>22</v>
      </c>
      <c r="C51" t="s">
        <v>155</v>
      </c>
      <c r="D51">
        <v>10</v>
      </c>
      <c r="E51">
        <v>0.4</v>
      </c>
      <c r="F51">
        <v>3</v>
      </c>
      <c r="G51">
        <v>32</v>
      </c>
      <c r="H51">
        <v>15</v>
      </c>
      <c r="I51">
        <v>1</v>
      </c>
      <c r="J51" t="s">
        <v>201</v>
      </c>
      <c r="N51">
        <f>(1/E51)*D51*5</f>
        <v>125</v>
      </c>
      <c r="T51" t="s">
        <v>86</v>
      </c>
    </row>
    <row r="52" spans="1:20" x14ac:dyDescent="0.4">
      <c r="A52">
        <v>6</v>
      </c>
      <c r="B52" t="s">
        <v>22</v>
      </c>
      <c r="C52" t="s">
        <v>17</v>
      </c>
      <c r="D52">
        <v>0</v>
      </c>
      <c r="E52">
        <v>0.8</v>
      </c>
      <c r="F52">
        <v>1</v>
      </c>
      <c r="G52">
        <v>0</v>
      </c>
      <c r="H52">
        <v>0</v>
      </c>
      <c r="I52">
        <v>0</v>
      </c>
      <c r="J52" t="s">
        <v>124</v>
      </c>
      <c r="T52" t="s">
        <v>88</v>
      </c>
    </row>
    <row r="54" spans="1:20" x14ac:dyDescent="0.4">
      <c r="A54">
        <v>7</v>
      </c>
      <c r="B54" t="s">
        <v>22</v>
      </c>
      <c r="C54" t="s">
        <v>155</v>
      </c>
      <c r="D54">
        <v>10</v>
      </c>
      <c r="E54">
        <v>0.3</v>
      </c>
      <c r="F54">
        <v>4</v>
      </c>
      <c r="G54">
        <v>32</v>
      </c>
      <c r="H54">
        <v>15</v>
      </c>
      <c r="I54">
        <v>1</v>
      </c>
      <c r="J54" t="s">
        <v>202</v>
      </c>
      <c r="N54">
        <f>(1/E54)*D54*5</f>
        <v>166.66666666666669</v>
      </c>
      <c r="T54" t="s">
        <v>107</v>
      </c>
    </row>
    <row r="55" spans="1:20" x14ac:dyDescent="0.4">
      <c r="A55">
        <v>7</v>
      </c>
      <c r="B55" t="s">
        <v>22</v>
      </c>
      <c r="C55" t="s">
        <v>17</v>
      </c>
      <c r="D55">
        <v>0</v>
      </c>
      <c r="E55">
        <v>0.8</v>
      </c>
      <c r="F55">
        <v>1</v>
      </c>
      <c r="G55">
        <v>0</v>
      </c>
      <c r="H55">
        <v>0</v>
      </c>
      <c r="I55">
        <v>0</v>
      </c>
      <c r="J55" t="s">
        <v>124</v>
      </c>
    </row>
    <row r="56" spans="1:20" x14ac:dyDescent="0.4">
      <c r="T56" t="s">
        <v>112</v>
      </c>
    </row>
    <row r="57" spans="1:20" x14ac:dyDescent="0.4">
      <c r="A57" t="s">
        <v>14</v>
      </c>
      <c r="B57" t="s">
        <v>15</v>
      </c>
      <c r="D57" t="s">
        <v>16</v>
      </c>
      <c r="E57" t="s">
        <v>17</v>
      </c>
      <c r="F57" t="s">
        <v>18</v>
      </c>
      <c r="G57" t="s">
        <v>19</v>
      </c>
      <c r="H57" t="s">
        <v>20</v>
      </c>
      <c r="I57" t="s">
        <v>170</v>
      </c>
      <c r="J57" t="s">
        <v>21</v>
      </c>
      <c r="K57" t="s">
        <v>179</v>
      </c>
      <c r="P57" t="s">
        <v>135</v>
      </c>
      <c r="T57" t="s">
        <v>108</v>
      </c>
    </row>
    <row r="58" spans="1:20" x14ac:dyDescent="0.4">
      <c r="A58">
        <v>1</v>
      </c>
      <c r="B58" t="s">
        <v>25</v>
      </c>
      <c r="C58" t="s">
        <v>156</v>
      </c>
      <c r="D58">
        <v>40</v>
      </c>
      <c r="E58">
        <v>0.3</v>
      </c>
      <c r="F58">
        <v>2</v>
      </c>
      <c r="G58">
        <v>25</v>
      </c>
      <c r="H58">
        <v>4</v>
      </c>
      <c r="I58">
        <v>2.5</v>
      </c>
      <c r="J58">
        <v>10</v>
      </c>
      <c r="K58">
        <v>2</v>
      </c>
      <c r="L58" t="s">
        <v>157</v>
      </c>
      <c r="P58">
        <f>(1/E58)*D58</f>
        <v>133.33333333333334</v>
      </c>
      <c r="T58" t="s">
        <v>111</v>
      </c>
    </row>
    <row r="59" spans="1:20" x14ac:dyDescent="0.4">
      <c r="A59">
        <v>1</v>
      </c>
      <c r="B59" t="s">
        <v>25</v>
      </c>
      <c r="C59" t="s">
        <v>155</v>
      </c>
      <c r="D59">
        <v>10</v>
      </c>
      <c r="E59">
        <v>1</v>
      </c>
      <c r="F59">
        <v>1</v>
      </c>
      <c r="G59">
        <v>32</v>
      </c>
      <c r="H59">
        <v>8</v>
      </c>
      <c r="I59">
        <v>0.5</v>
      </c>
      <c r="J59">
        <v>1</v>
      </c>
      <c r="K59">
        <v>8</v>
      </c>
      <c r="L59" t="s">
        <v>158</v>
      </c>
      <c r="P59">
        <f>(1/E59)*D59*4</f>
        <v>40</v>
      </c>
      <c r="T59" t="s">
        <v>108</v>
      </c>
    </row>
    <row r="60" spans="1:20" x14ac:dyDescent="0.4">
      <c r="T60" t="s">
        <v>110</v>
      </c>
    </row>
    <row r="61" spans="1:20" x14ac:dyDescent="0.4">
      <c r="A61">
        <v>2</v>
      </c>
      <c r="B61" t="s">
        <v>25</v>
      </c>
      <c r="C61" t="s">
        <v>156</v>
      </c>
      <c r="D61">
        <v>40</v>
      </c>
      <c r="E61">
        <v>0.3</v>
      </c>
      <c r="F61">
        <v>2</v>
      </c>
      <c r="G61">
        <v>25</v>
      </c>
      <c r="H61">
        <v>4.1500000000000004</v>
      </c>
      <c r="I61">
        <v>2.5</v>
      </c>
      <c r="J61">
        <v>10</v>
      </c>
      <c r="K61">
        <v>2</v>
      </c>
      <c r="L61" t="s">
        <v>157</v>
      </c>
      <c r="P61">
        <f>(1/E61)*D61</f>
        <v>133.33333333333334</v>
      </c>
      <c r="T61" t="s">
        <v>108</v>
      </c>
    </row>
    <row r="62" spans="1:20" x14ac:dyDescent="0.4">
      <c r="A62">
        <v>2</v>
      </c>
      <c r="B62" t="s">
        <v>25</v>
      </c>
      <c r="C62" t="s">
        <v>155</v>
      </c>
      <c r="D62">
        <v>10</v>
      </c>
      <c r="E62">
        <v>1</v>
      </c>
      <c r="F62">
        <v>1</v>
      </c>
      <c r="G62">
        <v>32</v>
      </c>
      <c r="H62">
        <v>18</v>
      </c>
      <c r="I62">
        <v>0.5</v>
      </c>
      <c r="J62">
        <v>1</v>
      </c>
      <c r="K62">
        <v>8</v>
      </c>
      <c r="L62" t="s">
        <v>158</v>
      </c>
      <c r="P62">
        <f>(1/E62)*D62*4</f>
        <v>40</v>
      </c>
      <c r="T62" t="s">
        <v>109</v>
      </c>
    </row>
    <row r="64" spans="1:20" x14ac:dyDescent="0.4">
      <c r="A64">
        <v>3</v>
      </c>
      <c r="B64" t="s">
        <v>25</v>
      </c>
      <c r="C64" t="s">
        <v>156</v>
      </c>
      <c r="D64">
        <v>40</v>
      </c>
      <c r="E64">
        <v>0.3</v>
      </c>
      <c r="F64">
        <v>2</v>
      </c>
      <c r="G64">
        <v>25</v>
      </c>
      <c r="H64">
        <v>4.3</v>
      </c>
      <c r="I64">
        <v>2.5</v>
      </c>
      <c r="J64">
        <v>10</v>
      </c>
      <c r="K64">
        <v>2</v>
      </c>
      <c r="L64" t="s">
        <v>157</v>
      </c>
      <c r="P64">
        <f>(1/E64)*D64</f>
        <v>133.33333333333334</v>
      </c>
    </row>
    <row r="65" spans="1:16" x14ac:dyDescent="0.4">
      <c r="A65">
        <v>3</v>
      </c>
      <c r="B65" t="s">
        <v>25</v>
      </c>
      <c r="C65" t="s">
        <v>155</v>
      </c>
      <c r="D65">
        <v>10</v>
      </c>
      <c r="E65">
        <v>1</v>
      </c>
      <c r="F65">
        <v>1</v>
      </c>
      <c r="G65">
        <v>32</v>
      </c>
      <c r="H65">
        <v>18</v>
      </c>
      <c r="I65">
        <v>0.5</v>
      </c>
      <c r="J65">
        <v>1</v>
      </c>
      <c r="K65">
        <v>8</v>
      </c>
      <c r="L65" t="s">
        <v>158</v>
      </c>
      <c r="P65">
        <f>(1/E65)*D65*4</f>
        <v>40</v>
      </c>
    </row>
    <row r="67" spans="1:16" x14ac:dyDescent="0.4">
      <c r="A67">
        <v>4</v>
      </c>
      <c r="B67" t="s">
        <v>25</v>
      </c>
      <c r="C67" t="s">
        <v>156</v>
      </c>
      <c r="D67">
        <v>40</v>
      </c>
      <c r="E67">
        <v>0.3</v>
      </c>
      <c r="F67">
        <v>3</v>
      </c>
      <c r="G67">
        <v>25</v>
      </c>
      <c r="H67">
        <v>4.45</v>
      </c>
      <c r="I67">
        <v>2.5</v>
      </c>
      <c r="J67">
        <v>10</v>
      </c>
      <c r="K67">
        <v>2.5</v>
      </c>
      <c r="L67" t="s">
        <v>157</v>
      </c>
      <c r="P67">
        <f>(1/E67)*D67</f>
        <v>133.33333333333334</v>
      </c>
    </row>
    <row r="68" spans="1:16" x14ac:dyDescent="0.4">
      <c r="A68">
        <v>4</v>
      </c>
      <c r="B68" t="s">
        <v>25</v>
      </c>
      <c r="C68" t="s">
        <v>155</v>
      </c>
      <c r="D68">
        <v>10</v>
      </c>
      <c r="E68">
        <v>1</v>
      </c>
      <c r="F68">
        <v>1</v>
      </c>
      <c r="G68">
        <v>32</v>
      </c>
      <c r="H68">
        <v>18</v>
      </c>
      <c r="I68">
        <v>0.5</v>
      </c>
      <c r="J68">
        <v>1</v>
      </c>
      <c r="K68">
        <v>8</v>
      </c>
      <c r="L68" t="s">
        <v>163</v>
      </c>
      <c r="P68">
        <f>(1/E68)*D68*5</f>
        <v>50</v>
      </c>
    </row>
    <row r="70" spans="1:16" x14ac:dyDescent="0.4">
      <c r="A70">
        <v>5</v>
      </c>
      <c r="B70" t="s">
        <v>25</v>
      </c>
      <c r="C70" t="s">
        <v>156</v>
      </c>
      <c r="D70">
        <v>40</v>
      </c>
      <c r="E70">
        <v>0.3</v>
      </c>
      <c r="F70">
        <v>3</v>
      </c>
      <c r="G70">
        <v>25</v>
      </c>
      <c r="H70">
        <v>4.5999999999999996</v>
      </c>
      <c r="I70">
        <v>2.5</v>
      </c>
      <c r="J70">
        <v>10</v>
      </c>
      <c r="K70">
        <v>2.5</v>
      </c>
      <c r="L70" t="s">
        <v>157</v>
      </c>
      <c r="P70">
        <f>(1/E70)*D70</f>
        <v>133.33333333333334</v>
      </c>
    </row>
    <row r="71" spans="1:16" x14ac:dyDescent="0.4">
      <c r="A71">
        <v>5</v>
      </c>
      <c r="B71" t="s">
        <v>25</v>
      </c>
      <c r="C71" t="s">
        <v>155</v>
      </c>
      <c r="D71">
        <v>10</v>
      </c>
      <c r="E71">
        <v>1</v>
      </c>
      <c r="F71">
        <v>1</v>
      </c>
      <c r="G71">
        <v>32</v>
      </c>
      <c r="H71">
        <v>18</v>
      </c>
      <c r="I71">
        <v>0.5</v>
      </c>
      <c r="J71">
        <v>1</v>
      </c>
      <c r="K71">
        <v>8</v>
      </c>
      <c r="L71" t="s">
        <v>163</v>
      </c>
      <c r="P71">
        <f>(1/E71)*D71*5</f>
        <v>50</v>
      </c>
    </row>
    <row r="73" spans="1:16" x14ac:dyDescent="0.4">
      <c r="A73">
        <v>6</v>
      </c>
      <c r="B73" t="s">
        <v>25</v>
      </c>
      <c r="C73" t="s">
        <v>156</v>
      </c>
      <c r="D73">
        <v>40</v>
      </c>
      <c r="E73">
        <v>0.3</v>
      </c>
      <c r="F73">
        <v>3</v>
      </c>
      <c r="G73">
        <v>25</v>
      </c>
      <c r="H73">
        <v>4.8</v>
      </c>
      <c r="I73">
        <v>2.5</v>
      </c>
      <c r="J73">
        <v>10</v>
      </c>
      <c r="K73">
        <v>2.5</v>
      </c>
      <c r="L73" t="s">
        <v>157</v>
      </c>
      <c r="P73">
        <f>(1/E73)*D73</f>
        <v>133.33333333333334</v>
      </c>
    </row>
    <row r="74" spans="1:16" x14ac:dyDescent="0.4">
      <c r="A74">
        <v>6</v>
      </c>
      <c r="B74" t="s">
        <v>25</v>
      </c>
      <c r="C74" t="s">
        <v>155</v>
      </c>
      <c r="D74">
        <v>10</v>
      </c>
      <c r="E74">
        <v>0.5</v>
      </c>
      <c r="F74">
        <v>2</v>
      </c>
      <c r="G74">
        <v>32</v>
      </c>
      <c r="H74">
        <v>18</v>
      </c>
      <c r="I74">
        <v>0.5</v>
      </c>
      <c r="J74">
        <v>1</v>
      </c>
      <c r="K74">
        <v>8</v>
      </c>
      <c r="L74" t="s">
        <v>163</v>
      </c>
      <c r="P74">
        <f>(1/E74)*D74*5</f>
        <v>100</v>
      </c>
    </row>
    <row r="76" spans="1:16" x14ac:dyDescent="0.4">
      <c r="A76">
        <v>7</v>
      </c>
      <c r="B76" t="s">
        <v>25</v>
      </c>
      <c r="C76" t="s">
        <v>156</v>
      </c>
      <c r="D76">
        <v>40</v>
      </c>
      <c r="E76">
        <v>0.3</v>
      </c>
      <c r="F76">
        <v>4</v>
      </c>
      <c r="G76">
        <v>25</v>
      </c>
      <c r="H76">
        <v>5</v>
      </c>
      <c r="I76">
        <v>2.5</v>
      </c>
      <c r="J76">
        <v>10</v>
      </c>
      <c r="K76">
        <v>2.5</v>
      </c>
      <c r="L76" t="s">
        <v>157</v>
      </c>
      <c r="P76">
        <f>(1/E76)*D76</f>
        <v>133.33333333333334</v>
      </c>
    </row>
    <row r="77" spans="1:16" x14ac:dyDescent="0.4">
      <c r="A77">
        <v>7</v>
      </c>
      <c r="B77" t="s">
        <v>25</v>
      </c>
      <c r="C77" t="s">
        <v>155</v>
      </c>
      <c r="D77">
        <v>10</v>
      </c>
      <c r="E77">
        <v>0.5</v>
      </c>
      <c r="F77">
        <v>2</v>
      </c>
      <c r="G77">
        <v>32</v>
      </c>
      <c r="H77">
        <v>18</v>
      </c>
      <c r="I77">
        <v>0.5</v>
      </c>
      <c r="J77">
        <v>1</v>
      </c>
      <c r="K77">
        <v>8</v>
      </c>
      <c r="L77" t="s">
        <v>163</v>
      </c>
      <c r="P77">
        <f>(1/E77)*D77*5</f>
        <v>100</v>
      </c>
    </row>
    <row r="79" spans="1:16" x14ac:dyDescent="0.4">
      <c r="A79" t="s">
        <v>32</v>
      </c>
    </row>
    <row r="80" spans="1:16" x14ac:dyDescent="0.4">
      <c r="A80" t="s">
        <v>33</v>
      </c>
    </row>
    <row r="81" spans="1:4" x14ac:dyDescent="0.4">
      <c r="A81" t="s">
        <v>192</v>
      </c>
    </row>
    <row r="83" spans="1:4" x14ac:dyDescent="0.4">
      <c r="A83" t="s">
        <v>34</v>
      </c>
    </row>
    <row r="84" spans="1:4" x14ac:dyDescent="0.4">
      <c r="A84" t="s">
        <v>191</v>
      </c>
    </row>
    <row r="87" spans="1:4" x14ac:dyDescent="0.4">
      <c r="A87" t="s">
        <v>35</v>
      </c>
    </row>
    <row r="88" spans="1:4" x14ac:dyDescent="0.4">
      <c r="A88" t="s">
        <v>36</v>
      </c>
    </row>
    <row r="89" spans="1:4" x14ac:dyDescent="0.4">
      <c r="A89" t="s">
        <v>37</v>
      </c>
      <c r="B89" t="s">
        <v>96</v>
      </c>
      <c r="D89" t="s">
        <v>134</v>
      </c>
    </row>
    <row r="90" spans="1:4" x14ac:dyDescent="0.4">
      <c r="A90" t="s">
        <v>164</v>
      </c>
    </row>
    <row r="91" spans="1:4" x14ac:dyDescent="0.4">
      <c r="A91" t="s">
        <v>133</v>
      </c>
    </row>
    <row r="92" spans="1:4" x14ac:dyDescent="0.4">
      <c r="A92" t="s">
        <v>171</v>
      </c>
    </row>
    <row r="93" spans="1:4" x14ac:dyDescent="0.4">
      <c r="A93" t="s">
        <v>165</v>
      </c>
    </row>
    <row r="94" spans="1:4" x14ac:dyDescent="0.4">
      <c r="A94" t="s">
        <v>185</v>
      </c>
    </row>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462EC-F2B4-4748-B5F2-4C03CEBAE5D3}">
  <dimension ref="A1:AA91"/>
  <sheetViews>
    <sheetView topLeftCell="A56" workbookViewId="0">
      <selection activeCell="A57" sqref="A57:O77"/>
    </sheetView>
  </sheetViews>
  <sheetFormatPr defaultRowHeight="18.75" x14ac:dyDescent="0.4"/>
  <sheetData>
    <row r="1" spans="1:27" x14ac:dyDescent="0.4">
      <c r="A1" t="s">
        <v>326</v>
      </c>
    </row>
    <row r="2" spans="1:27" x14ac:dyDescent="0.4">
      <c r="A2" t="s">
        <v>1</v>
      </c>
      <c r="B2">
        <v>750</v>
      </c>
      <c r="C2" t="s">
        <v>2</v>
      </c>
      <c r="Z2" s="9"/>
      <c r="AA2" s="9"/>
    </row>
    <row r="3" spans="1:27" x14ac:dyDescent="0.4">
      <c r="A3" t="s">
        <v>3</v>
      </c>
      <c r="B3">
        <v>1250</v>
      </c>
      <c r="C3" t="s">
        <v>2</v>
      </c>
      <c r="Z3" s="9"/>
      <c r="AA3" s="9"/>
    </row>
    <row r="4" spans="1:27" x14ac:dyDescent="0.4">
      <c r="A4" t="s">
        <v>4</v>
      </c>
      <c r="B4">
        <v>100</v>
      </c>
      <c r="C4" t="s">
        <v>2</v>
      </c>
      <c r="Z4" s="9"/>
      <c r="AA4" s="9"/>
    </row>
    <row r="5" spans="1:27" x14ac:dyDescent="0.4">
      <c r="A5" t="s">
        <v>169</v>
      </c>
      <c r="B5">
        <v>41</v>
      </c>
      <c r="D5" t="s">
        <v>174</v>
      </c>
      <c r="E5" t="s">
        <v>178</v>
      </c>
      <c r="Z5" s="9"/>
      <c r="AA5" s="9"/>
    </row>
    <row r="6" spans="1:27" x14ac:dyDescent="0.4">
      <c r="A6" t="s">
        <v>327</v>
      </c>
      <c r="Z6" s="9"/>
      <c r="AA6" s="9"/>
    </row>
    <row r="7" spans="1:27" x14ac:dyDescent="0.4">
      <c r="A7" t="s">
        <v>328</v>
      </c>
      <c r="Z7" s="9"/>
      <c r="AA7" s="9"/>
    </row>
    <row r="8" spans="1:27" x14ac:dyDescent="0.4">
      <c r="Z8" s="9"/>
      <c r="AA8" s="9"/>
    </row>
    <row r="9" spans="1:27" x14ac:dyDescent="0.4">
      <c r="Z9" s="9"/>
      <c r="AA9" s="9"/>
    </row>
    <row r="10" spans="1:27" x14ac:dyDescent="0.4">
      <c r="A10" t="s">
        <v>346</v>
      </c>
      <c r="B10" t="s">
        <v>347</v>
      </c>
      <c r="Z10" s="9"/>
      <c r="AA10" s="9"/>
    </row>
    <row r="11" spans="1:27" x14ac:dyDescent="0.4">
      <c r="A11" t="s">
        <v>5</v>
      </c>
      <c r="B11">
        <v>2</v>
      </c>
      <c r="Z11" s="9"/>
      <c r="AA11" s="9"/>
    </row>
    <row r="12" spans="1:27" x14ac:dyDescent="0.4">
      <c r="A12" t="s">
        <v>6</v>
      </c>
      <c r="B12">
        <v>9</v>
      </c>
      <c r="C12" t="s">
        <v>329</v>
      </c>
      <c r="Z12" s="9"/>
      <c r="AA12" s="9"/>
    </row>
    <row r="13" spans="1:27" x14ac:dyDescent="0.4">
      <c r="A13" t="s">
        <v>8</v>
      </c>
      <c r="B13" t="s">
        <v>330</v>
      </c>
      <c r="D13" t="s">
        <v>331</v>
      </c>
      <c r="E13" t="s">
        <v>332</v>
      </c>
      <c r="G13" t="s">
        <v>348</v>
      </c>
      <c r="H13" t="s">
        <v>349</v>
      </c>
      <c r="Z13" s="9"/>
      <c r="AA13" s="9"/>
    </row>
    <row r="14" spans="1:27" x14ac:dyDescent="0.4">
      <c r="A14" t="s">
        <v>10</v>
      </c>
      <c r="B14" t="s">
        <v>333</v>
      </c>
      <c r="C14" t="s">
        <v>334</v>
      </c>
      <c r="Z14" s="9"/>
      <c r="AA14" s="9"/>
    </row>
    <row r="15" spans="1:27" x14ac:dyDescent="0.4">
      <c r="A15" t="s">
        <v>12</v>
      </c>
      <c r="B15" t="s">
        <v>343</v>
      </c>
      <c r="C15" t="s">
        <v>344</v>
      </c>
      <c r="E15" t="s">
        <v>345</v>
      </c>
      <c r="F15" t="s">
        <v>337</v>
      </c>
    </row>
    <row r="17" spans="1:10" x14ac:dyDescent="0.4">
      <c r="B17" t="s">
        <v>131</v>
      </c>
    </row>
    <row r="18" spans="1:10" x14ac:dyDescent="0.4">
      <c r="B18" t="s">
        <v>130</v>
      </c>
    </row>
    <row r="19" spans="1:10" x14ac:dyDescent="0.4">
      <c r="B19" t="s">
        <v>132</v>
      </c>
    </row>
    <row r="20" spans="1:10" x14ac:dyDescent="0.4">
      <c r="A20" t="s">
        <v>121</v>
      </c>
      <c r="B20" t="s">
        <v>122</v>
      </c>
    </row>
    <row r="21" spans="1:10" x14ac:dyDescent="0.4">
      <c r="A21" t="s">
        <v>14</v>
      </c>
      <c r="B21" t="s">
        <v>15</v>
      </c>
      <c r="D21" t="s">
        <v>16</v>
      </c>
      <c r="E21" t="s">
        <v>17</v>
      </c>
      <c r="F21" t="s">
        <v>18</v>
      </c>
      <c r="G21" t="s">
        <v>19</v>
      </c>
      <c r="H21" t="s">
        <v>20</v>
      </c>
      <c r="I21" t="s">
        <v>21</v>
      </c>
    </row>
    <row r="22" spans="1:10" x14ac:dyDescent="0.4">
      <c r="A22">
        <v>1</v>
      </c>
      <c r="B22" t="s">
        <v>22</v>
      </c>
      <c r="C22" t="s">
        <v>335</v>
      </c>
      <c r="D22">
        <v>50</v>
      </c>
      <c r="E22">
        <v>0.5</v>
      </c>
      <c r="F22">
        <v>1</v>
      </c>
      <c r="G22">
        <v>45</v>
      </c>
      <c r="H22">
        <v>19</v>
      </c>
      <c r="I22">
        <v>5</v>
      </c>
      <c r="J22" t="s">
        <v>338</v>
      </c>
    </row>
    <row r="23" spans="1:10" x14ac:dyDescent="0.4">
      <c r="A23">
        <v>1</v>
      </c>
      <c r="B23" t="s">
        <v>22</v>
      </c>
      <c r="C23" t="s">
        <v>17</v>
      </c>
      <c r="D23">
        <v>0</v>
      </c>
      <c r="E23">
        <v>1</v>
      </c>
      <c r="F23">
        <v>1</v>
      </c>
      <c r="G23">
        <v>0</v>
      </c>
      <c r="H23">
        <v>16</v>
      </c>
      <c r="I23">
        <v>0</v>
      </c>
      <c r="J23" t="s">
        <v>24</v>
      </c>
    </row>
    <row r="27" spans="1:10" x14ac:dyDescent="0.4">
      <c r="A27" t="s">
        <v>14</v>
      </c>
      <c r="B27" t="s">
        <v>15</v>
      </c>
      <c r="D27" t="s">
        <v>16</v>
      </c>
      <c r="E27" t="s">
        <v>17</v>
      </c>
      <c r="F27" t="s">
        <v>18</v>
      </c>
      <c r="G27" t="s">
        <v>19</v>
      </c>
      <c r="H27" t="s">
        <v>20</v>
      </c>
      <c r="I27" t="s">
        <v>21</v>
      </c>
    </row>
    <row r="28" spans="1:10" x14ac:dyDescent="0.4">
      <c r="A28">
        <v>1</v>
      </c>
      <c r="B28" t="s">
        <v>25</v>
      </c>
      <c r="C28" t="s">
        <v>337</v>
      </c>
      <c r="D28">
        <v>50</v>
      </c>
      <c r="E28">
        <v>0.3</v>
      </c>
      <c r="F28">
        <v>1</v>
      </c>
      <c r="G28">
        <v>1</v>
      </c>
      <c r="H28">
        <v>6</v>
      </c>
      <c r="I28">
        <v>10</v>
      </c>
      <c r="J28" t="s">
        <v>339</v>
      </c>
    </row>
    <row r="29" spans="1:10" x14ac:dyDescent="0.4">
      <c r="A29">
        <v>1</v>
      </c>
      <c r="B29" t="s">
        <v>25</v>
      </c>
      <c r="C29" t="s">
        <v>27</v>
      </c>
      <c r="D29">
        <v>15</v>
      </c>
      <c r="E29">
        <v>1</v>
      </c>
      <c r="F29">
        <v>1</v>
      </c>
      <c r="G29">
        <v>30</v>
      </c>
      <c r="H29">
        <v>1.5</v>
      </c>
      <c r="I29">
        <v>40</v>
      </c>
      <c r="J29" t="s">
        <v>336</v>
      </c>
    </row>
    <row r="32" spans="1:10" x14ac:dyDescent="0.4">
      <c r="B32" t="s">
        <v>160</v>
      </c>
    </row>
    <row r="35" spans="1:11" x14ac:dyDescent="0.4">
      <c r="A35" t="s">
        <v>14</v>
      </c>
      <c r="B35" t="s">
        <v>15</v>
      </c>
      <c r="D35" t="s">
        <v>16</v>
      </c>
      <c r="E35" t="s">
        <v>17</v>
      </c>
      <c r="F35" t="s">
        <v>18</v>
      </c>
      <c r="G35" t="s">
        <v>19</v>
      </c>
      <c r="H35" t="s">
        <v>20</v>
      </c>
      <c r="I35" t="s">
        <v>21</v>
      </c>
      <c r="J35" t="s">
        <v>340</v>
      </c>
    </row>
    <row r="36" spans="1:11" x14ac:dyDescent="0.4">
      <c r="A36">
        <v>1</v>
      </c>
      <c r="B36" t="s">
        <v>22</v>
      </c>
      <c r="C36" t="s">
        <v>335</v>
      </c>
      <c r="D36">
        <v>50</v>
      </c>
      <c r="E36">
        <v>0.1</v>
      </c>
      <c r="F36">
        <v>1</v>
      </c>
      <c r="G36">
        <v>45</v>
      </c>
      <c r="H36">
        <v>19</v>
      </c>
      <c r="I36">
        <v>5</v>
      </c>
      <c r="J36">
        <v>0</v>
      </c>
      <c r="K36" t="s">
        <v>338</v>
      </c>
    </row>
    <row r="37" spans="1:11" x14ac:dyDescent="0.4">
      <c r="A37">
        <v>1</v>
      </c>
      <c r="B37" t="s">
        <v>22</v>
      </c>
      <c r="C37" t="s">
        <v>17</v>
      </c>
      <c r="D37">
        <v>0</v>
      </c>
      <c r="E37">
        <v>2</v>
      </c>
      <c r="F37">
        <v>1</v>
      </c>
      <c r="G37">
        <v>0</v>
      </c>
      <c r="H37">
        <v>16</v>
      </c>
      <c r="I37">
        <v>0</v>
      </c>
      <c r="J37">
        <v>0</v>
      </c>
      <c r="K37" t="s">
        <v>24</v>
      </c>
    </row>
    <row r="39" spans="1:11" x14ac:dyDescent="0.4">
      <c r="A39">
        <v>2</v>
      </c>
      <c r="B39" t="s">
        <v>22</v>
      </c>
      <c r="C39" t="s">
        <v>335</v>
      </c>
      <c r="D39">
        <v>30</v>
      </c>
      <c r="E39">
        <v>0.1</v>
      </c>
      <c r="F39">
        <v>2</v>
      </c>
      <c r="G39">
        <v>45</v>
      </c>
      <c r="H39">
        <v>19</v>
      </c>
      <c r="I39">
        <v>5</v>
      </c>
      <c r="J39">
        <v>0</v>
      </c>
      <c r="K39" t="s">
        <v>338</v>
      </c>
    </row>
    <row r="40" spans="1:11" x14ac:dyDescent="0.4">
      <c r="A40">
        <v>2</v>
      </c>
      <c r="B40" t="s">
        <v>22</v>
      </c>
      <c r="C40" t="s">
        <v>17</v>
      </c>
      <c r="D40">
        <v>0</v>
      </c>
      <c r="E40">
        <v>2</v>
      </c>
      <c r="F40">
        <v>1</v>
      </c>
      <c r="G40">
        <v>0</v>
      </c>
      <c r="H40">
        <v>16</v>
      </c>
      <c r="I40">
        <v>0</v>
      </c>
      <c r="J40">
        <v>0</v>
      </c>
      <c r="K40" t="s">
        <v>24</v>
      </c>
    </row>
    <row r="42" spans="1:11" x14ac:dyDescent="0.4">
      <c r="A42">
        <v>3</v>
      </c>
      <c r="B42" t="s">
        <v>22</v>
      </c>
      <c r="C42" t="s">
        <v>335</v>
      </c>
      <c r="D42">
        <v>24</v>
      </c>
      <c r="E42">
        <v>0.1</v>
      </c>
      <c r="F42">
        <v>3</v>
      </c>
      <c r="G42">
        <v>45</v>
      </c>
      <c r="H42">
        <v>19</v>
      </c>
      <c r="I42">
        <v>5</v>
      </c>
      <c r="J42">
        <v>0</v>
      </c>
      <c r="K42" t="s">
        <v>338</v>
      </c>
    </row>
    <row r="43" spans="1:11" x14ac:dyDescent="0.4">
      <c r="A43">
        <v>3</v>
      </c>
      <c r="B43" t="s">
        <v>22</v>
      </c>
      <c r="C43" t="s">
        <v>17</v>
      </c>
      <c r="D43">
        <v>0</v>
      </c>
      <c r="E43">
        <v>2</v>
      </c>
      <c r="F43">
        <v>1</v>
      </c>
      <c r="G43">
        <v>0</v>
      </c>
      <c r="H43">
        <v>16</v>
      </c>
      <c r="I43">
        <v>0</v>
      </c>
      <c r="J43">
        <v>0</v>
      </c>
      <c r="K43" t="s">
        <v>24</v>
      </c>
    </row>
    <row r="45" spans="1:11" x14ac:dyDescent="0.4">
      <c r="A45">
        <v>4</v>
      </c>
      <c r="B45" t="s">
        <v>22</v>
      </c>
      <c r="C45" t="s">
        <v>335</v>
      </c>
      <c r="D45">
        <v>20</v>
      </c>
      <c r="E45">
        <v>0.1</v>
      </c>
      <c r="F45">
        <v>4</v>
      </c>
      <c r="G45">
        <v>45</v>
      </c>
      <c r="H45">
        <v>19</v>
      </c>
      <c r="I45">
        <v>5</v>
      </c>
      <c r="J45">
        <v>0</v>
      </c>
      <c r="K45" t="s">
        <v>338</v>
      </c>
    </row>
    <row r="46" spans="1:11" x14ac:dyDescent="0.4">
      <c r="A46">
        <v>4</v>
      </c>
      <c r="B46" t="s">
        <v>22</v>
      </c>
      <c r="C46" t="s">
        <v>17</v>
      </c>
      <c r="D46">
        <v>0</v>
      </c>
      <c r="E46">
        <v>2</v>
      </c>
      <c r="F46">
        <v>1</v>
      </c>
      <c r="G46">
        <v>0</v>
      </c>
      <c r="H46">
        <v>16</v>
      </c>
      <c r="I46">
        <v>0</v>
      </c>
      <c r="J46">
        <v>0</v>
      </c>
      <c r="K46" t="s">
        <v>24</v>
      </c>
    </row>
    <row r="48" spans="1:11" x14ac:dyDescent="0.4">
      <c r="A48">
        <v>5</v>
      </c>
      <c r="B48" t="s">
        <v>22</v>
      </c>
      <c r="C48" t="s">
        <v>335</v>
      </c>
      <c r="D48">
        <v>18</v>
      </c>
      <c r="E48">
        <v>0.1</v>
      </c>
      <c r="F48">
        <v>5</v>
      </c>
      <c r="G48">
        <v>45</v>
      </c>
      <c r="H48">
        <v>19</v>
      </c>
      <c r="I48">
        <v>5</v>
      </c>
      <c r="J48">
        <v>0</v>
      </c>
      <c r="K48" t="s">
        <v>338</v>
      </c>
    </row>
    <row r="49" spans="1:12" x14ac:dyDescent="0.4">
      <c r="A49">
        <v>5</v>
      </c>
      <c r="B49" t="s">
        <v>22</v>
      </c>
      <c r="C49" t="s">
        <v>17</v>
      </c>
      <c r="D49">
        <v>0</v>
      </c>
      <c r="E49">
        <v>2</v>
      </c>
      <c r="F49">
        <v>1</v>
      </c>
      <c r="G49">
        <v>0</v>
      </c>
      <c r="H49">
        <v>16</v>
      </c>
      <c r="I49">
        <v>0</v>
      </c>
      <c r="J49">
        <v>0</v>
      </c>
      <c r="K49" t="s">
        <v>24</v>
      </c>
    </row>
    <row r="51" spans="1:12" x14ac:dyDescent="0.4">
      <c r="A51">
        <v>6</v>
      </c>
      <c r="B51" t="s">
        <v>22</v>
      </c>
      <c r="C51" t="s">
        <v>335</v>
      </c>
      <c r="D51">
        <v>17</v>
      </c>
      <c r="E51">
        <v>0.1</v>
      </c>
      <c r="F51">
        <v>6</v>
      </c>
      <c r="G51">
        <v>45</v>
      </c>
      <c r="H51">
        <v>19</v>
      </c>
      <c r="I51">
        <v>5</v>
      </c>
      <c r="J51">
        <v>0</v>
      </c>
      <c r="K51" t="s">
        <v>338</v>
      </c>
    </row>
    <row r="52" spans="1:12" x14ac:dyDescent="0.4">
      <c r="A52">
        <v>6</v>
      </c>
      <c r="B52" t="s">
        <v>22</v>
      </c>
      <c r="C52" t="s">
        <v>17</v>
      </c>
      <c r="D52">
        <v>0</v>
      </c>
      <c r="E52">
        <v>2</v>
      </c>
      <c r="F52">
        <v>1</v>
      </c>
      <c r="G52">
        <v>0</v>
      </c>
      <c r="H52">
        <v>16</v>
      </c>
      <c r="I52">
        <v>0</v>
      </c>
      <c r="J52">
        <v>0</v>
      </c>
      <c r="K52" t="s">
        <v>24</v>
      </c>
    </row>
    <row r="54" spans="1:12" x14ac:dyDescent="0.4">
      <c r="A54">
        <v>7</v>
      </c>
      <c r="B54" t="s">
        <v>22</v>
      </c>
      <c r="C54" t="s">
        <v>335</v>
      </c>
      <c r="D54">
        <v>17</v>
      </c>
      <c r="E54">
        <v>0.1</v>
      </c>
      <c r="F54">
        <v>7</v>
      </c>
      <c r="G54">
        <v>45</v>
      </c>
      <c r="H54">
        <v>19</v>
      </c>
      <c r="I54">
        <v>5</v>
      </c>
      <c r="J54">
        <v>0</v>
      </c>
      <c r="K54" t="s">
        <v>338</v>
      </c>
    </row>
    <row r="55" spans="1:12" x14ac:dyDescent="0.4">
      <c r="A55">
        <v>7</v>
      </c>
      <c r="B55" t="s">
        <v>22</v>
      </c>
      <c r="C55" t="s">
        <v>17</v>
      </c>
      <c r="D55">
        <v>0</v>
      </c>
      <c r="E55">
        <v>2</v>
      </c>
      <c r="F55">
        <v>1</v>
      </c>
      <c r="G55">
        <v>0</v>
      </c>
      <c r="H55">
        <v>16</v>
      </c>
      <c r="I55">
        <v>0</v>
      </c>
      <c r="J55">
        <v>0</v>
      </c>
      <c r="K55" t="s">
        <v>24</v>
      </c>
    </row>
    <row r="57" spans="1:12" x14ac:dyDescent="0.4">
      <c r="A57" t="s">
        <v>14</v>
      </c>
      <c r="B57" t="s">
        <v>15</v>
      </c>
      <c r="D57" t="s">
        <v>16</v>
      </c>
      <c r="E57" t="s">
        <v>17</v>
      </c>
      <c r="F57" t="s">
        <v>18</v>
      </c>
      <c r="G57" t="s">
        <v>19</v>
      </c>
      <c r="H57" t="s">
        <v>20</v>
      </c>
      <c r="I57" t="s">
        <v>170</v>
      </c>
      <c r="J57" t="s">
        <v>21</v>
      </c>
      <c r="K57" t="s">
        <v>179</v>
      </c>
    </row>
    <row r="58" spans="1:12" x14ac:dyDescent="0.4">
      <c r="A58">
        <v>1</v>
      </c>
      <c r="B58" t="s">
        <v>25</v>
      </c>
      <c r="C58" t="s">
        <v>337</v>
      </c>
      <c r="D58">
        <v>75</v>
      </c>
      <c r="E58">
        <v>0.3</v>
      </c>
      <c r="F58">
        <v>1</v>
      </c>
      <c r="G58">
        <v>1</v>
      </c>
      <c r="H58">
        <v>6</v>
      </c>
      <c r="I58">
        <v>0</v>
      </c>
      <c r="J58">
        <v>10</v>
      </c>
      <c r="K58">
        <v>6</v>
      </c>
      <c r="L58" t="s">
        <v>339</v>
      </c>
    </row>
    <row r="59" spans="1:12" x14ac:dyDescent="0.4">
      <c r="A59">
        <v>1</v>
      </c>
      <c r="B59" t="s">
        <v>25</v>
      </c>
      <c r="C59" t="s">
        <v>27</v>
      </c>
      <c r="D59">
        <v>15</v>
      </c>
      <c r="E59">
        <v>1</v>
      </c>
      <c r="F59">
        <v>1</v>
      </c>
      <c r="G59">
        <v>30</v>
      </c>
      <c r="H59">
        <v>2</v>
      </c>
      <c r="I59">
        <v>1</v>
      </c>
      <c r="J59">
        <v>40</v>
      </c>
      <c r="K59">
        <v>1.5</v>
      </c>
      <c r="L59" t="s">
        <v>336</v>
      </c>
    </row>
    <row r="61" spans="1:12" x14ac:dyDescent="0.4">
      <c r="A61">
        <v>2</v>
      </c>
      <c r="B61" t="s">
        <v>25</v>
      </c>
      <c r="C61" t="s">
        <v>337</v>
      </c>
      <c r="D61">
        <v>45</v>
      </c>
      <c r="E61">
        <v>0.3</v>
      </c>
      <c r="F61">
        <v>2</v>
      </c>
      <c r="G61">
        <v>1</v>
      </c>
      <c r="H61">
        <v>6</v>
      </c>
      <c r="I61">
        <v>0</v>
      </c>
      <c r="J61">
        <v>10</v>
      </c>
      <c r="K61">
        <v>6</v>
      </c>
      <c r="L61" t="s">
        <v>339</v>
      </c>
    </row>
    <row r="62" spans="1:12" x14ac:dyDescent="0.4">
      <c r="A62">
        <v>2</v>
      </c>
      <c r="B62" t="s">
        <v>25</v>
      </c>
      <c r="C62" t="s">
        <v>27</v>
      </c>
      <c r="D62">
        <v>15</v>
      </c>
      <c r="E62">
        <v>1</v>
      </c>
      <c r="F62">
        <v>1</v>
      </c>
      <c r="G62">
        <v>30</v>
      </c>
      <c r="H62">
        <v>2</v>
      </c>
      <c r="I62">
        <v>1</v>
      </c>
      <c r="J62">
        <v>40</v>
      </c>
      <c r="K62">
        <v>1.5</v>
      </c>
      <c r="L62" t="s">
        <v>336</v>
      </c>
    </row>
    <row r="64" spans="1:12" x14ac:dyDescent="0.4">
      <c r="A64">
        <v>3</v>
      </c>
      <c r="B64" t="s">
        <v>25</v>
      </c>
      <c r="C64" t="s">
        <v>337</v>
      </c>
      <c r="D64">
        <v>36</v>
      </c>
      <c r="E64">
        <v>0.3</v>
      </c>
      <c r="F64">
        <v>3</v>
      </c>
      <c r="G64">
        <v>1</v>
      </c>
      <c r="H64">
        <v>6</v>
      </c>
      <c r="I64">
        <v>0</v>
      </c>
      <c r="J64">
        <v>10</v>
      </c>
      <c r="K64">
        <v>6</v>
      </c>
      <c r="L64" t="s">
        <v>339</v>
      </c>
    </row>
    <row r="65" spans="1:12" x14ac:dyDescent="0.4">
      <c r="A65">
        <v>3</v>
      </c>
      <c r="B65" t="s">
        <v>25</v>
      </c>
      <c r="C65" t="s">
        <v>27</v>
      </c>
      <c r="D65">
        <v>15</v>
      </c>
      <c r="E65">
        <v>1</v>
      </c>
      <c r="F65">
        <v>1</v>
      </c>
      <c r="G65">
        <v>30</v>
      </c>
      <c r="H65">
        <v>2</v>
      </c>
      <c r="I65">
        <v>1</v>
      </c>
      <c r="J65">
        <v>40</v>
      </c>
      <c r="K65">
        <v>1.5</v>
      </c>
      <c r="L65" t="s">
        <v>336</v>
      </c>
    </row>
    <row r="67" spans="1:12" x14ac:dyDescent="0.4">
      <c r="A67">
        <v>4</v>
      </c>
      <c r="B67" t="s">
        <v>25</v>
      </c>
      <c r="C67" t="s">
        <v>337</v>
      </c>
      <c r="D67">
        <v>30</v>
      </c>
      <c r="E67">
        <v>0.3</v>
      </c>
      <c r="F67">
        <v>4</v>
      </c>
      <c r="G67">
        <v>1</v>
      </c>
      <c r="H67">
        <v>6</v>
      </c>
      <c r="I67">
        <v>0</v>
      </c>
      <c r="J67">
        <v>10</v>
      </c>
      <c r="K67">
        <v>6</v>
      </c>
      <c r="L67" t="s">
        <v>339</v>
      </c>
    </row>
    <row r="68" spans="1:12" x14ac:dyDescent="0.4">
      <c r="A68">
        <v>4</v>
      </c>
      <c r="B68" t="s">
        <v>25</v>
      </c>
      <c r="C68" t="s">
        <v>27</v>
      </c>
      <c r="D68">
        <v>15</v>
      </c>
      <c r="E68">
        <v>1</v>
      </c>
      <c r="F68">
        <v>1</v>
      </c>
      <c r="G68">
        <v>30</v>
      </c>
      <c r="H68">
        <v>2</v>
      </c>
      <c r="I68">
        <v>1</v>
      </c>
      <c r="J68">
        <v>40</v>
      </c>
      <c r="K68">
        <v>1.5</v>
      </c>
      <c r="L68" t="s">
        <v>336</v>
      </c>
    </row>
    <row r="70" spans="1:12" x14ac:dyDescent="0.4">
      <c r="A70">
        <v>5</v>
      </c>
      <c r="B70" t="s">
        <v>25</v>
      </c>
      <c r="C70" t="s">
        <v>337</v>
      </c>
      <c r="D70">
        <v>27</v>
      </c>
      <c r="E70">
        <v>0.3</v>
      </c>
      <c r="F70">
        <v>5</v>
      </c>
      <c r="G70">
        <v>1</v>
      </c>
      <c r="H70">
        <v>6</v>
      </c>
      <c r="I70">
        <v>0</v>
      </c>
      <c r="J70">
        <v>10</v>
      </c>
      <c r="K70">
        <v>6</v>
      </c>
      <c r="L70" t="s">
        <v>339</v>
      </c>
    </row>
    <row r="71" spans="1:12" x14ac:dyDescent="0.4">
      <c r="A71">
        <v>5</v>
      </c>
      <c r="B71" t="s">
        <v>25</v>
      </c>
      <c r="C71" t="s">
        <v>27</v>
      </c>
      <c r="D71">
        <v>15</v>
      </c>
      <c r="E71">
        <v>1</v>
      </c>
      <c r="F71">
        <v>1</v>
      </c>
      <c r="G71">
        <v>30</v>
      </c>
      <c r="H71">
        <v>2</v>
      </c>
      <c r="I71">
        <v>1</v>
      </c>
      <c r="J71">
        <v>40</v>
      </c>
      <c r="K71">
        <v>1.5</v>
      </c>
      <c r="L71" t="s">
        <v>336</v>
      </c>
    </row>
    <row r="73" spans="1:12" x14ac:dyDescent="0.4">
      <c r="A73">
        <v>6</v>
      </c>
      <c r="B73" t="s">
        <v>25</v>
      </c>
      <c r="C73" t="s">
        <v>337</v>
      </c>
      <c r="D73">
        <v>25</v>
      </c>
      <c r="E73">
        <v>0.3</v>
      </c>
      <c r="F73">
        <v>6</v>
      </c>
      <c r="G73">
        <v>1</v>
      </c>
      <c r="H73">
        <v>6</v>
      </c>
      <c r="I73">
        <v>0</v>
      </c>
      <c r="J73">
        <v>10</v>
      </c>
      <c r="K73">
        <v>6</v>
      </c>
      <c r="L73" t="s">
        <v>339</v>
      </c>
    </row>
    <row r="74" spans="1:12" x14ac:dyDescent="0.4">
      <c r="A74">
        <v>6</v>
      </c>
      <c r="B74" t="s">
        <v>25</v>
      </c>
      <c r="C74" t="s">
        <v>27</v>
      </c>
      <c r="D74">
        <v>15</v>
      </c>
      <c r="E74">
        <v>1</v>
      </c>
      <c r="F74">
        <v>1</v>
      </c>
      <c r="G74">
        <v>30</v>
      </c>
      <c r="H74">
        <v>2</v>
      </c>
      <c r="I74">
        <v>1</v>
      </c>
      <c r="J74">
        <v>40</v>
      </c>
      <c r="K74">
        <v>1.5</v>
      </c>
      <c r="L74" t="s">
        <v>336</v>
      </c>
    </row>
    <row r="76" spans="1:12" x14ac:dyDescent="0.4">
      <c r="A76">
        <v>7</v>
      </c>
      <c r="B76" t="s">
        <v>25</v>
      </c>
      <c r="C76" t="s">
        <v>337</v>
      </c>
      <c r="D76">
        <v>24</v>
      </c>
      <c r="E76">
        <v>0.3</v>
      </c>
      <c r="F76">
        <v>7</v>
      </c>
      <c r="G76">
        <v>1</v>
      </c>
      <c r="H76">
        <v>6</v>
      </c>
      <c r="I76">
        <v>0</v>
      </c>
      <c r="J76">
        <v>10</v>
      </c>
      <c r="K76">
        <v>6</v>
      </c>
      <c r="L76" t="s">
        <v>339</v>
      </c>
    </row>
    <row r="77" spans="1:12" x14ac:dyDescent="0.4">
      <c r="A77">
        <v>7</v>
      </c>
      <c r="B77" t="s">
        <v>25</v>
      </c>
      <c r="C77" t="s">
        <v>27</v>
      </c>
      <c r="D77">
        <v>15</v>
      </c>
      <c r="E77">
        <v>1</v>
      </c>
      <c r="F77">
        <v>1</v>
      </c>
      <c r="G77">
        <v>30</v>
      </c>
      <c r="H77">
        <v>2</v>
      </c>
      <c r="I77">
        <v>1</v>
      </c>
      <c r="J77">
        <v>40</v>
      </c>
      <c r="K77">
        <v>1.5</v>
      </c>
      <c r="L77" t="s">
        <v>336</v>
      </c>
    </row>
    <row r="79" spans="1:12" x14ac:dyDescent="0.4">
      <c r="A79" t="s">
        <v>32</v>
      </c>
    </row>
    <row r="80" spans="1:12" x14ac:dyDescent="0.4">
      <c r="A80" t="s">
        <v>33</v>
      </c>
    </row>
    <row r="81" spans="1:4" x14ac:dyDescent="0.4">
      <c r="A81" t="s">
        <v>341</v>
      </c>
    </row>
    <row r="83" spans="1:4" x14ac:dyDescent="0.4">
      <c r="A83" t="s">
        <v>34</v>
      </c>
    </row>
    <row r="84" spans="1:4" x14ac:dyDescent="0.4">
      <c r="A84" t="s">
        <v>341</v>
      </c>
    </row>
    <row r="87" spans="1:4" x14ac:dyDescent="0.4">
      <c r="A87" t="s">
        <v>35</v>
      </c>
    </row>
    <row r="88" spans="1:4" x14ac:dyDescent="0.4">
      <c r="A88" t="s">
        <v>36</v>
      </c>
    </row>
    <row r="89" spans="1:4" x14ac:dyDescent="0.4">
      <c r="A89" t="s">
        <v>37</v>
      </c>
      <c r="B89" t="s">
        <v>96</v>
      </c>
      <c r="D89" t="s">
        <v>134</v>
      </c>
    </row>
    <row r="90" spans="1:4" x14ac:dyDescent="0.4">
      <c r="A90" t="s">
        <v>342</v>
      </c>
    </row>
    <row r="91" spans="1:4" x14ac:dyDescent="0.4">
      <c r="A91" s="15" t="s">
        <v>496</v>
      </c>
    </row>
  </sheetData>
  <phoneticPr fontId="1"/>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54F42-D12F-4332-9122-890BFAE92956}">
  <dimension ref="A1:AA92"/>
  <sheetViews>
    <sheetView workbookViewId="0">
      <selection activeCell="H1" sqref="H1:J6"/>
    </sheetView>
  </sheetViews>
  <sheetFormatPr defaultRowHeight="18.75" x14ac:dyDescent="0.4"/>
  <sheetData>
    <row r="1" spans="1:27" x14ac:dyDescent="0.4">
      <c r="A1" t="s">
        <v>354</v>
      </c>
      <c r="I1" t="s">
        <v>493</v>
      </c>
      <c r="J1" t="s">
        <v>494</v>
      </c>
    </row>
    <row r="2" spans="1:27" x14ac:dyDescent="0.4">
      <c r="A2" t="s">
        <v>1</v>
      </c>
      <c r="B2">
        <v>1050</v>
      </c>
      <c r="C2" t="s">
        <v>2</v>
      </c>
      <c r="H2" t="s">
        <v>488</v>
      </c>
      <c r="I2">
        <v>100</v>
      </c>
      <c r="J2">
        <v>100</v>
      </c>
      <c r="Z2" s="9"/>
      <c r="AA2" s="9"/>
    </row>
    <row r="3" spans="1:27" x14ac:dyDescent="0.4">
      <c r="A3" t="s">
        <v>3</v>
      </c>
      <c r="B3">
        <v>950</v>
      </c>
      <c r="C3" t="s">
        <v>2</v>
      </c>
      <c r="H3" t="s">
        <v>490</v>
      </c>
      <c r="I3">
        <v>100</v>
      </c>
      <c r="J3">
        <v>100</v>
      </c>
      <c r="Z3" s="9"/>
      <c r="AA3" s="9"/>
    </row>
    <row r="4" spans="1:27" x14ac:dyDescent="0.4">
      <c r="A4" t="s">
        <v>4</v>
      </c>
      <c r="B4">
        <v>100</v>
      </c>
      <c r="C4" t="s">
        <v>2</v>
      </c>
      <c r="H4" t="s">
        <v>491</v>
      </c>
      <c r="I4">
        <v>125</v>
      </c>
      <c r="J4">
        <v>125</v>
      </c>
      <c r="Z4" s="9"/>
      <c r="AA4" s="9"/>
    </row>
    <row r="5" spans="1:27" x14ac:dyDescent="0.4">
      <c r="A5" t="s">
        <v>169</v>
      </c>
      <c r="B5">
        <v>62</v>
      </c>
      <c r="D5" t="s">
        <v>174</v>
      </c>
      <c r="E5" t="s">
        <v>177</v>
      </c>
      <c r="H5" t="s">
        <v>492</v>
      </c>
      <c r="I5">
        <v>100</v>
      </c>
      <c r="J5">
        <v>100</v>
      </c>
      <c r="Z5" s="9"/>
      <c r="AA5" s="9"/>
    </row>
    <row r="6" spans="1:27" x14ac:dyDescent="0.4">
      <c r="A6" t="s">
        <v>355</v>
      </c>
      <c r="H6" t="s">
        <v>489</v>
      </c>
      <c r="I6">
        <v>75</v>
      </c>
      <c r="J6">
        <v>75</v>
      </c>
      <c r="Z6" s="9"/>
      <c r="AA6" s="9"/>
    </row>
    <row r="7" spans="1:27" x14ac:dyDescent="0.4">
      <c r="Z7" s="9"/>
      <c r="AA7" s="9"/>
    </row>
    <row r="8" spans="1:27" x14ac:dyDescent="0.4">
      <c r="Z8" s="9"/>
      <c r="AA8" s="9"/>
    </row>
    <row r="9" spans="1:27" x14ac:dyDescent="0.4">
      <c r="Z9" s="9"/>
      <c r="AA9" s="9"/>
    </row>
    <row r="10" spans="1:27" x14ac:dyDescent="0.4">
      <c r="Z10" s="9"/>
      <c r="AA10" s="9"/>
    </row>
    <row r="11" spans="1:27" x14ac:dyDescent="0.4">
      <c r="A11" t="s">
        <v>5</v>
      </c>
      <c r="B11">
        <v>2</v>
      </c>
      <c r="Z11" s="9"/>
      <c r="AA11" s="9"/>
    </row>
    <row r="12" spans="1:27" x14ac:dyDescent="0.4">
      <c r="A12" t="s">
        <v>6</v>
      </c>
      <c r="B12">
        <v>0</v>
      </c>
      <c r="C12" t="s">
        <v>350</v>
      </c>
      <c r="Z12" s="9"/>
      <c r="AA12" s="9"/>
    </row>
    <row r="13" spans="1:27" x14ac:dyDescent="0.4">
      <c r="A13" t="s">
        <v>8</v>
      </c>
      <c r="B13" t="s">
        <v>356</v>
      </c>
      <c r="D13" t="s">
        <v>331</v>
      </c>
      <c r="E13" t="s">
        <v>357</v>
      </c>
      <c r="G13" t="s">
        <v>348</v>
      </c>
      <c r="H13" t="s">
        <v>472</v>
      </c>
      <c r="J13" t="s">
        <v>351</v>
      </c>
      <c r="K13" t="s">
        <v>352</v>
      </c>
      <c r="Z13" s="9"/>
      <c r="AA13" s="9"/>
    </row>
    <row r="14" spans="1:27" x14ac:dyDescent="0.4">
      <c r="A14" t="s">
        <v>10</v>
      </c>
      <c r="B14" t="s">
        <v>358</v>
      </c>
      <c r="D14" t="s">
        <v>359</v>
      </c>
      <c r="Z14" s="9"/>
      <c r="AA14" s="9"/>
    </row>
    <row r="15" spans="1:27" x14ac:dyDescent="0.4">
      <c r="A15" t="s">
        <v>12</v>
      </c>
      <c r="B15" t="s">
        <v>360</v>
      </c>
    </row>
    <row r="17" spans="1:16" x14ac:dyDescent="0.4">
      <c r="B17" t="s">
        <v>131</v>
      </c>
    </row>
    <row r="18" spans="1:16" x14ac:dyDescent="0.4">
      <c r="B18" t="s">
        <v>130</v>
      </c>
    </row>
    <row r="19" spans="1:16" x14ac:dyDescent="0.4">
      <c r="B19" t="s">
        <v>132</v>
      </c>
    </row>
    <row r="21" spans="1:16" x14ac:dyDescent="0.4">
      <c r="A21" t="s">
        <v>14</v>
      </c>
      <c r="B21" t="s">
        <v>15</v>
      </c>
      <c r="D21" t="s">
        <v>16</v>
      </c>
      <c r="E21" t="s">
        <v>17</v>
      </c>
      <c r="F21" t="s">
        <v>18</v>
      </c>
      <c r="G21" t="s">
        <v>19</v>
      </c>
      <c r="H21" t="s">
        <v>20</v>
      </c>
      <c r="I21" t="s">
        <v>21</v>
      </c>
    </row>
    <row r="22" spans="1:16" x14ac:dyDescent="0.4">
      <c r="A22">
        <v>1</v>
      </c>
      <c r="B22" t="s">
        <v>22</v>
      </c>
      <c r="C22" t="s">
        <v>361</v>
      </c>
      <c r="D22">
        <v>75</v>
      </c>
      <c r="E22">
        <v>0.3</v>
      </c>
      <c r="F22">
        <v>1</v>
      </c>
      <c r="G22">
        <v>32</v>
      </c>
      <c r="H22">
        <v>15</v>
      </c>
      <c r="I22">
        <v>40</v>
      </c>
      <c r="J22">
        <v>10</v>
      </c>
      <c r="K22" t="s">
        <v>366</v>
      </c>
    </row>
    <row r="23" spans="1:16" x14ac:dyDescent="0.4">
      <c r="A23">
        <v>1</v>
      </c>
      <c r="B23" t="s">
        <v>22</v>
      </c>
      <c r="C23" t="s">
        <v>17</v>
      </c>
      <c r="D23">
        <v>0</v>
      </c>
      <c r="E23">
        <v>0.7</v>
      </c>
      <c r="F23">
        <v>1</v>
      </c>
      <c r="G23">
        <v>0</v>
      </c>
      <c r="H23">
        <v>0</v>
      </c>
      <c r="I23">
        <v>0</v>
      </c>
      <c r="J23">
        <v>0</v>
      </c>
      <c r="K23" t="s">
        <v>124</v>
      </c>
    </row>
    <row r="27" spans="1:16" x14ac:dyDescent="0.4">
      <c r="A27" t="s">
        <v>14</v>
      </c>
      <c r="B27" t="s">
        <v>15</v>
      </c>
      <c r="D27" t="s">
        <v>16</v>
      </c>
      <c r="E27" t="s">
        <v>17</v>
      </c>
      <c r="F27" t="s">
        <v>18</v>
      </c>
      <c r="G27" t="s">
        <v>19</v>
      </c>
      <c r="H27" t="s">
        <v>20</v>
      </c>
      <c r="I27" t="s">
        <v>170</v>
      </c>
      <c r="J27" t="s">
        <v>21</v>
      </c>
      <c r="K27" t="s">
        <v>179</v>
      </c>
      <c r="P27" t="s">
        <v>135</v>
      </c>
    </row>
    <row r="28" spans="1:16" x14ac:dyDescent="0.4">
      <c r="A28">
        <v>1</v>
      </c>
      <c r="B28" t="s">
        <v>25</v>
      </c>
      <c r="C28" t="s">
        <v>362</v>
      </c>
      <c r="D28">
        <v>90</v>
      </c>
      <c r="E28">
        <v>0.4</v>
      </c>
      <c r="F28">
        <v>1</v>
      </c>
      <c r="G28">
        <v>28</v>
      </c>
      <c r="H28">
        <v>4.5</v>
      </c>
      <c r="I28">
        <v>1.5</v>
      </c>
      <c r="J28">
        <v>10</v>
      </c>
      <c r="K28">
        <v>3</v>
      </c>
      <c r="L28" t="s">
        <v>367</v>
      </c>
    </row>
    <row r="29" spans="1:16" x14ac:dyDescent="0.4">
      <c r="A29">
        <v>1</v>
      </c>
      <c r="B29" t="s">
        <v>25</v>
      </c>
      <c r="C29" t="s">
        <v>363</v>
      </c>
      <c r="D29">
        <v>60</v>
      </c>
      <c r="E29">
        <v>0.4</v>
      </c>
      <c r="F29">
        <v>1</v>
      </c>
      <c r="G29">
        <v>30</v>
      </c>
      <c r="H29">
        <v>2</v>
      </c>
      <c r="I29">
        <v>1</v>
      </c>
      <c r="J29">
        <v>40</v>
      </c>
      <c r="K29">
        <v>1</v>
      </c>
      <c r="L29" t="s">
        <v>28</v>
      </c>
    </row>
    <row r="32" spans="1:16" x14ac:dyDescent="0.4">
      <c r="B32" t="s">
        <v>364</v>
      </c>
    </row>
    <row r="33" spans="1:11" x14ac:dyDescent="0.4">
      <c r="B33" t="s">
        <v>365</v>
      </c>
    </row>
    <row r="36" spans="1:11" x14ac:dyDescent="0.4">
      <c r="A36" t="s">
        <v>14</v>
      </c>
      <c r="B36" t="s">
        <v>15</v>
      </c>
      <c r="D36" t="s">
        <v>16</v>
      </c>
      <c r="E36" t="s">
        <v>17</v>
      </c>
      <c r="F36" t="s">
        <v>18</v>
      </c>
      <c r="G36" t="s">
        <v>19</v>
      </c>
      <c r="H36" t="s">
        <v>20</v>
      </c>
      <c r="I36" t="s">
        <v>21</v>
      </c>
      <c r="J36" t="s">
        <v>340</v>
      </c>
    </row>
    <row r="37" spans="1:11" x14ac:dyDescent="0.4">
      <c r="A37">
        <v>1</v>
      </c>
      <c r="B37" t="s">
        <v>22</v>
      </c>
      <c r="C37" t="s">
        <v>361</v>
      </c>
      <c r="D37">
        <v>65</v>
      </c>
      <c r="E37">
        <v>0.3</v>
      </c>
      <c r="F37">
        <v>1</v>
      </c>
      <c r="G37">
        <v>32</v>
      </c>
      <c r="H37">
        <v>15</v>
      </c>
      <c r="I37">
        <v>40</v>
      </c>
      <c r="J37">
        <v>10</v>
      </c>
      <c r="K37" t="s">
        <v>366</v>
      </c>
    </row>
    <row r="38" spans="1:11" x14ac:dyDescent="0.4">
      <c r="A38">
        <v>1</v>
      </c>
      <c r="B38" t="s">
        <v>22</v>
      </c>
      <c r="C38" t="s">
        <v>17</v>
      </c>
      <c r="D38">
        <v>0</v>
      </c>
      <c r="E38">
        <v>0.6</v>
      </c>
      <c r="F38">
        <v>1</v>
      </c>
      <c r="G38">
        <v>0</v>
      </c>
      <c r="H38">
        <v>0</v>
      </c>
      <c r="I38">
        <v>0</v>
      </c>
      <c r="J38">
        <v>0</v>
      </c>
      <c r="K38" t="s">
        <v>124</v>
      </c>
    </row>
    <row r="40" spans="1:11" x14ac:dyDescent="0.4">
      <c r="A40">
        <v>2</v>
      </c>
      <c r="B40" t="s">
        <v>22</v>
      </c>
      <c r="C40" t="s">
        <v>361</v>
      </c>
      <c r="D40">
        <v>65</v>
      </c>
      <c r="E40">
        <v>0.3</v>
      </c>
      <c r="F40">
        <v>1</v>
      </c>
      <c r="G40">
        <v>32</v>
      </c>
      <c r="H40">
        <v>15</v>
      </c>
      <c r="I40">
        <v>40</v>
      </c>
      <c r="J40">
        <v>10</v>
      </c>
      <c r="K40" t="s">
        <v>366</v>
      </c>
    </row>
    <row r="41" spans="1:11" x14ac:dyDescent="0.4">
      <c r="A41">
        <v>2</v>
      </c>
      <c r="B41" t="s">
        <v>22</v>
      </c>
      <c r="C41" t="s">
        <v>17</v>
      </c>
      <c r="D41">
        <v>0</v>
      </c>
      <c r="E41">
        <v>0.6</v>
      </c>
      <c r="F41">
        <v>1</v>
      </c>
      <c r="G41">
        <v>0</v>
      </c>
      <c r="H41">
        <v>0</v>
      </c>
      <c r="I41">
        <v>0</v>
      </c>
      <c r="J41">
        <v>0</v>
      </c>
      <c r="K41" t="s">
        <v>124</v>
      </c>
    </row>
    <row r="43" spans="1:11" x14ac:dyDescent="0.4">
      <c r="A43">
        <v>3</v>
      </c>
      <c r="B43" t="s">
        <v>22</v>
      </c>
      <c r="C43" t="s">
        <v>361</v>
      </c>
      <c r="D43">
        <v>65</v>
      </c>
      <c r="E43">
        <v>0.3</v>
      </c>
      <c r="F43">
        <v>1</v>
      </c>
      <c r="G43">
        <v>32</v>
      </c>
      <c r="H43">
        <v>15</v>
      </c>
      <c r="I43">
        <v>40</v>
      </c>
      <c r="J43">
        <v>10</v>
      </c>
      <c r="K43" t="s">
        <v>366</v>
      </c>
    </row>
    <row r="44" spans="1:11" x14ac:dyDescent="0.4">
      <c r="A44">
        <v>3</v>
      </c>
      <c r="B44" t="s">
        <v>22</v>
      </c>
      <c r="C44" t="s">
        <v>17</v>
      </c>
      <c r="D44">
        <v>0</v>
      </c>
      <c r="E44">
        <v>0.6</v>
      </c>
      <c r="F44">
        <v>1</v>
      </c>
      <c r="G44">
        <v>0</v>
      </c>
      <c r="H44">
        <v>0</v>
      </c>
      <c r="I44">
        <v>0</v>
      </c>
      <c r="J44">
        <v>0</v>
      </c>
      <c r="K44" t="s">
        <v>124</v>
      </c>
    </row>
    <row r="46" spans="1:11" x14ac:dyDescent="0.4">
      <c r="A46">
        <v>4</v>
      </c>
      <c r="B46" t="s">
        <v>22</v>
      </c>
      <c r="C46" t="s">
        <v>361</v>
      </c>
      <c r="D46">
        <v>65</v>
      </c>
      <c r="E46">
        <v>0.3</v>
      </c>
      <c r="F46">
        <v>2</v>
      </c>
      <c r="G46">
        <v>32</v>
      </c>
      <c r="H46">
        <v>15</v>
      </c>
      <c r="I46">
        <v>40</v>
      </c>
      <c r="J46">
        <v>10</v>
      </c>
      <c r="K46" t="s">
        <v>366</v>
      </c>
    </row>
    <row r="47" spans="1:11" x14ac:dyDescent="0.4">
      <c r="A47">
        <v>4</v>
      </c>
      <c r="B47" t="s">
        <v>22</v>
      </c>
      <c r="C47" t="s">
        <v>17</v>
      </c>
      <c r="D47">
        <v>0</v>
      </c>
      <c r="E47">
        <v>0.6</v>
      </c>
      <c r="F47">
        <v>1</v>
      </c>
      <c r="G47">
        <v>0</v>
      </c>
      <c r="H47">
        <v>0</v>
      </c>
      <c r="I47">
        <v>0</v>
      </c>
      <c r="J47">
        <v>0</v>
      </c>
      <c r="K47" t="s">
        <v>124</v>
      </c>
    </row>
    <row r="49" spans="1:12" x14ac:dyDescent="0.4">
      <c r="A49">
        <v>5</v>
      </c>
      <c r="B49" t="s">
        <v>22</v>
      </c>
      <c r="C49" t="s">
        <v>361</v>
      </c>
      <c r="D49">
        <v>65</v>
      </c>
      <c r="E49">
        <v>0.3</v>
      </c>
      <c r="F49">
        <v>2</v>
      </c>
      <c r="G49">
        <v>32</v>
      </c>
      <c r="H49">
        <v>15</v>
      </c>
      <c r="I49">
        <v>40</v>
      </c>
      <c r="J49">
        <v>10</v>
      </c>
      <c r="K49" t="s">
        <v>366</v>
      </c>
    </row>
    <row r="50" spans="1:12" x14ac:dyDescent="0.4">
      <c r="A50">
        <v>5</v>
      </c>
      <c r="B50" t="s">
        <v>22</v>
      </c>
      <c r="C50" t="s">
        <v>17</v>
      </c>
      <c r="D50">
        <v>0</v>
      </c>
      <c r="E50">
        <v>0.6</v>
      </c>
      <c r="F50">
        <v>1</v>
      </c>
      <c r="G50">
        <v>0</v>
      </c>
      <c r="H50">
        <v>0</v>
      </c>
      <c r="I50">
        <v>0</v>
      </c>
      <c r="J50">
        <v>0</v>
      </c>
      <c r="K50" t="s">
        <v>124</v>
      </c>
    </row>
    <row r="52" spans="1:12" x14ac:dyDescent="0.4">
      <c r="A52">
        <v>6</v>
      </c>
      <c r="B52" t="s">
        <v>22</v>
      </c>
      <c r="C52" t="s">
        <v>361</v>
      </c>
      <c r="D52">
        <v>65</v>
      </c>
      <c r="E52">
        <v>0.3</v>
      </c>
      <c r="F52">
        <v>2</v>
      </c>
      <c r="G52">
        <v>32</v>
      </c>
      <c r="H52">
        <v>15</v>
      </c>
      <c r="I52">
        <v>40</v>
      </c>
      <c r="J52">
        <v>10</v>
      </c>
      <c r="K52" t="s">
        <v>366</v>
      </c>
    </row>
    <row r="53" spans="1:12" x14ac:dyDescent="0.4">
      <c r="A53">
        <v>6</v>
      </c>
      <c r="B53" t="s">
        <v>22</v>
      </c>
      <c r="C53" t="s">
        <v>17</v>
      </c>
      <c r="D53">
        <v>0</v>
      </c>
      <c r="E53">
        <v>0.6</v>
      </c>
      <c r="F53">
        <v>1</v>
      </c>
      <c r="G53">
        <v>0</v>
      </c>
      <c r="H53">
        <v>0</v>
      </c>
      <c r="I53">
        <v>0</v>
      </c>
      <c r="J53">
        <v>0</v>
      </c>
      <c r="K53" t="s">
        <v>124</v>
      </c>
    </row>
    <row r="55" spans="1:12" x14ac:dyDescent="0.4">
      <c r="A55">
        <v>7</v>
      </c>
      <c r="B55" t="s">
        <v>22</v>
      </c>
      <c r="C55" t="s">
        <v>361</v>
      </c>
      <c r="D55">
        <v>65</v>
      </c>
      <c r="E55">
        <v>0.3</v>
      </c>
      <c r="F55">
        <v>3</v>
      </c>
      <c r="G55">
        <v>32</v>
      </c>
      <c r="H55">
        <v>15</v>
      </c>
      <c r="I55">
        <v>40</v>
      </c>
      <c r="J55">
        <v>10</v>
      </c>
      <c r="K55" t="s">
        <v>366</v>
      </c>
    </row>
    <row r="56" spans="1:12" x14ac:dyDescent="0.4">
      <c r="A56">
        <v>7</v>
      </c>
      <c r="B56" t="s">
        <v>22</v>
      </c>
      <c r="C56" t="s">
        <v>17</v>
      </c>
      <c r="D56">
        <v>0</v>
      </c>
      <c r="E56">
        <v>0.6</v>
      </c>
      <c r="F56">
        <v>1</v>
      </c>
      <c r="G56">
        <v>0</v>
      </c>
      <c r="H56">
        <v>0</v>
      </c>
      <c r="I56">
        <v>0</v>
      </c>
      <c r="J56">
        <v>0</v>
      </c>
      <c r="K56" t="s">
        <v>124</v>
      </c>
    </row>
    <row r="58" spans="1:12" x14ac:dyDescent="0.4">
      <c r="A58" t="s">
        <v>14</v>
      </c>
      <c r="B58" t="s">
        <v>15</v>
      </c>
      <c r="D58" t="s">
        <v>16</v>
      </c>
      <c r="E58" t="s">
        <v>17</v>
      </c>
      <c r="F58" t="s">
        <v>18</v>
      </c>
      <c r="G58" t="s">
        <v>19</v>
      </c>
      <c r="H58" t="s">
        <v>20</v>
      </c>
      <c r="I58" t="s">
        <v>170</v>
      </c>
      <c r="J58" t="s">
        <v>21</v>
      </c>
      <c r="K58" t="s">
        <v>179</v>
      </c>
    </row>
    <row r="59" spans="1:12" x14ac:dyDescent="0.4">
      <c r="A59">
        <v>1</v>
      </c>
      <c r="B59" t="s">
        <v>25</v>
      </c>
      <c r="C59" t="s">
        <v>362</v>
      </c>
      <c r="D59">
        <v>70</v>
      </c>
      <c r="E59">
        <v>0.4</v>
      </c>
      <c r="F59">
        <v>1</v>
      </c>
      <c r="G59">
        <v>28</v>
      </c>
      <c r="H59">
        <v>4.5</v>
      </c>
      <c r="I59">
        <v>1.5</v>
      </c>
      <c r="J59">
        <v>10</v>
      </c>
      <c r="K59">
        <v>3</v>
      </c>
      <c r="L59" t="s">
        <v>367</v>
      </c>
    </row>
    <row r="60" spans="1:12" x14ac:dyDescent="0.4">
      <c r="A60">
        <v>1</v>
      </c>
      <c r="B60" t="s">
        <v>25</v>
      </c>
      <c r="C60" t="s">
        <v>363</v>
      </c>
      <c r="D60">
        <v>40</v>
      </c>
      <c r="E60">
        <v>0.4</v>
      </c>
      <c r="F60">
        <v>2</v>
      </c>
      <c r="G60">
        <v>30</v>
      </c>
      <c r="H60">
        <v>2</v>
      </c>
      <c r="I60">
        <v>1</v>
      </c>
      <c r="J60">
        <v>40</v>
      </c>
      <c r="K60">
        <v>1</v>
      </c>
      <c r="L60" t="s">
        <v>28</v>
      </c>
    </row>
    <row r="62" spans="1:12" x14ac:dyDescent="0.4">
      <c r="A62">
        <v>2</v>
      </c>
      <c r="B62" t="s">
        <v>25</v>
      </c>
      <c r="C62" t="s">
        <v>362</v>
      </c>
      <c r="D62">
        <v>70</v>
      </c>
      <c r="E62">
        <v>0.4</v>
      </c>
      <c r="F62">
        <v>1</v>
      </c>
      <c r="G62">
        <v>28</v>
      </c>
      <c r="H62">
        <v>4.5</v>
      </c>
      <c r="I62">
        <v>1.5</v>
      </c>
      <c r="J62">
        <v>10</v>
      </c>
      <c r="K62">
        <v>3</v>
      </c>
      <c r="L62" t="s">
        <v>367</v>
      </c>
    </row>
    <row r="63" spans="1:12" x14ac:dyDescent="0.4">
      <c r="A63">
        <v>2</v>
      </c>
      <c r="B63" t="s">
        <v>25</v>
      </c>
      <c r="C63" t="s">
        <v>363</v>
      </c>
      <c r="D63">
        <v>40</v>
      </c>
      <c r="E63">
        <v>0.4</v>
      </c>
      <c r="F63">
        <v>2</v>
      </c>
      <c r="G63">
        <v>30</v>
      </c>
      <c r="H63">
        <v>2</v>
      </c>
      <c r="I63">
        <v>1</v>
      </c>
      <c r="J63">
        <v>40</v>
      </c>
      <c r="K63">
        <v>1</v>
      </c>
      <c r="L63" t="s">
        <v>28</v>
      </c>
    </row>
    <row r="65" spans="1:12" x14ac:dyDescent="0.4">
      <c r="A65">
        <v>3</v>
      </c>
      <c r="B65" t="s">
        <v>25</v>
      </c>
      <c r="C65" t="s">
        <v>362</v>
      </c>
      <c r="D65">
        <v>70</v>
      </c>
      <c r="E65">
        <v>0.4</v>
      </c>
      <c r="F65">
        <v>1</v>
      </c>
      <c r="G65">
        <v>28</v>
      </c>
      <c r="H65">
        <v>4.5</v>
      </c>
      <c r="I65">
        <v>1.5</v>
      </c>
      <c r="J65">
        <v>10</v>
      </c>
      <c r="K65">
        <v>3</v>
      </c>
      <c r="L65" t="s">
        <v>367</v>
      </c>
    </row>
    <row r="66" spans="1:12" x14ac:dyDescent="0.4">
      <c r="A66">
        <v>3</v>
      </c>
      <c r="B66" t="s">
        <v>25</v>
      </c>
      <c r="C66" t="s">
        <v>363</v>
      </c>
      <c r="D66">
        <v>40</v>
      </c>
      <c r="E66">
        <v>0.4</v>
      </c>
      <c r="F66">
        <v>2</v>
      </c>
      <c r="G66">
        <v>30</v>
      </c>
      <c r="H66">
        <v>2</v>
      </c>
      <c r="I66">
        <v>1</v>
      </c>
      <c r="J66">
        <v>40</v>
      </c>
      <c r="K66">
        <v>1</v>
      </c>
      <c r="L66" t="s">
        <v>28</v>
      </c>
    </row>
    <row r="68" spans="1:12" x14ac:dyDescent="0.4">
      <c r="A68">
        <v>4</v>
      </c>
      <c r="B68" t="s">
        <v>25</v>
      </c>
      <c r="C68" t="s">
        <v>362</v>
      </c>
      <c r="D68">
        <v>70</v>
      </c>
      <c r="E68">
        <v>0.4</v>
      </c>
      <c r="F68">
        <v>1</v>
      </c>
      <c r="G68">
        <v>28</v>
      </c>
      <c r="H68">
        <v>4.5</v>
      </c>
      <c r="I68">
        <v>1.5</v>
      </c>
      <c r="J68">
        <v>10</v>
      </c>
      <c r="K68">
        <v>3</v>
      </c>
      <c r="L68" t="s">
        <v>367</v>
      </c>
    </row>
    <row r="69" spans="1:12" x14ac:dyDescent="0.4">
      <c r="A69">
        <v>4</v>
      </c>
      <c r="B69" t="s">
        <v>25</v>
      </c>
      <c r="C69" t="s">
        <v>363</v>
      </c>
      <c r="D69">
        <v>40</v>
      </c>
      <c r="E69">
        <v>0.4</v>
      </c>
      <c r="F69">
        <v>3</v>
      </c>
      <c r="G69">
        <v>30</v>
      </c>
      <c r="H69">
        <v>2</v>
      </c>
      <c r="I69">
        <v>1</v>
      </c>
      <c r="J69">
        <v>40</v>
      </c>
      <c r="K69">
        <v>1</v>
      </c>
      <c r="L69" t="s">
        <v>28</v>
      </c>
    </row>
    <row r="71" spans="1:12" x14ac:dyDescent="0.4">
      <c r="A71">
        <v>5</v>
      </c>
      <c r="B71" t="s">
        <v>25</v>
      </c>
      <c r="C71" t="s">
        <v>362</v>
      </c>
      <c r="D71">
        <v>70</v>
      </c>
      <c r="E71">
        <v>0.4</v>
      </c>
      <c r="F71">
        <v>1</v>
      </c>
      <c r="G71">
        <v>28</v>
      </c>
      <c r="H71">
        <v>4.5</v>
      </c>
      <c r="I71">
        <v>1.5</v>
      </c>
      <c r="J71">
        <v>10</v>
      </c>
      <c r="K71">
        <v>3</v>
      </c>
      <c r="L71" t="s">
        <v>367</v>
      </c>
    </row>
    <row r="72" spans="1:12" x14ac:dyDescent="0.4">
      <c r="A72">
        <v>5</v>
      </c>
      <c r="B72" t="s">
        <v>25</v>
      </c>
      <c r="C72" t="s">
        <v>363</v>
      </c>
      <c r="D72">
        <v>40</v>
      </c>
      <c r="E72">
        <v>0.4</v>
      </c>
      <c r="F72">
        <v>3</v>
      </c>
      <c r="G72">
        <v>30</v>
      </c>
      <c r="H72">
        <v>2</v>
      </c>
      <c r="I72">
        <v>1</v>
      </c>
      <c r="J72">
        <v>40</v>
      </c>
      <c r="K72">
        <v>1</v>
      </c>
      <c r="L72" t="s">
        <v>28</v>
      </c>
    </row>
    <row r="74" spans="1:12" x14ac:dyDescent="0.4">
      <c r="A74">
        <v>6</v>
      </c>
      <c r="B74" t="s">
        <v>25</v>
      </c>
      <c r="C74" t="s">
        <v>362</v>
      </c>
      <c r="D74">
        <v>70</v>
      </c>
      <c r="E74">
        <v>0.4</v>
      </c>
      <c r="F74">
        <v>1</v>
      </c>
      <c r="G74">
        <v>28</v>
      </c>
      <c r="H74">
        <v>4.5</v>
      </c>
      <c r="I74">
        <v>1.5</v>
      </c>
      <c r="J74">
        <v>10</v>
      </c>
      <c r="K74">
        <v>3</v>
      </c>
      <c r="L74" t="s">
        <v>367</v>
      </c>
    </row>
    <row r="75" spans="1:12" x14ac:dyDescent="0.4">
      <c r="A75">
        <v>6</v>
      </c>
      <c r="B75" t="s">
        <v>25</v>
      </c>
      <c r="C75" t="s">
        <v>363</v>
      </c>
      <c r="D75">
        <v>40</v>
      </c>
      <c r="E75">
        <v>0.4</v>
      </c>
      <c r="F75">
        <v>3</v>
      </c>
      <c r="G75">
        <v>30</v>
      </c>
      <c r="H75">
        <v>2</v>
      </c>
      <c r="I75">
        <v>1</v>
      </c>
      <c r="J75">
        <v>40</v>
      </c>
      <c r="K75">
        <v>1</v>
      </c>
      <c r="L75" t="s">
        <v>28</v>
      </c>
    </row>
    <row r="77" spans="1:12" x14ac:dyDescent="0.4">
      <c r="A77">
        <v>7</v>
      </c>
      <c r="B77" t="s">
        <v>25</v>
      </c>
      <c r="C77" t="s">
        <v>362</v>
      </c>
      <c r="D77">
        <v>70</v>
      </c>
      <c r="E77">
        <v>0.4</v>
      </c>
      <c r="F77">
        <v>1</v>
      </c>
      <c r="G77">
        <v>28</v>
      </c>
      <c r="H77">
        <v>4.5</v>
      </c>
      <c r="I77">
        <v>1.5</v>
      </c>
      <c r="J77">
        <v>10</v>
      </c>
      <c r="K77">
        <v>3</v>
      </c>
      <c r="L77" t="s">
        <v>367</v>
      </c>
    </row>
    <row r="78" spans="1:12" x14ac:dyDescent="0.4">
      <c r="A78">
        <v>7</v>
      </c>
      <c r="B78" t="s">
        <v>25</v>
      </c>
      <c r="C78" t="s">
        <v>363</v>
      </c>
      <c r="D78">
        <v>40</v>
      </c>
      <c r="E78">
        <v>0.4</v>
      </c>
      <c r="F78">
        <v>4</v>
      </c>
      <c r="G78">
        <v>30</v>
      </c>
      <c r="H78">
        <v>2</v>
      </c>
      <c r="I78">
        <v>1</v>
      </c>
      <c r="J78">
        <v>40</v>
      </c>
      <c r="K78">
        <v>1</v>
      </c>
      <c r="L78" t="s">
        <v>28</v>
      </c>
    </row>
    <row r="80" spans="1:12" x14ac:dyDescent="0.4">
      <c r="A80" t="s">
        <v>32</v>
      </c>
    </row>
    <row r="81" spans="1:4" x14ac:dyDescent="0.4">
      <c r="A81" t="s">
        <v>33</v>
      </c>
    </row>
    <row r="82" spans="1:4" x14ac:dyDescent="0.4">
      <c r="A82" t="s">
        <v>370</v>
      </c>
    </row>
    <row r="84" spans="1:4" x14ac:dyDescent="0.4">
      <c r="A84" t="s">
        <v>34</v>
      </c>
    </row>
    <row r="85" spans="1:4" x14ac:dyDescent="0.4">
      <c r="A85" t="s">
        <v>371</v>
      </c>
    </row>
    <row r="88" spans="1:4" x14ac:dyDescent="0.4">
      <c r="A88" t="s">
        <v>35</v>
      </c>
    </row>
    <row r="89" spans="1:4" x14ac:dyDescent="0.4">
      <c r="A89" t="s">
        <v>36</v>
      </c>
    </row>
    <row r="90" spans="1:4" x14ac:dyDescent="0.4">
      <c r="A90" t="s">
        <v>37</v>
      </c>
      <c r="B90" t="s">
        <v>96</v>
      </c>
      <c r="D90" t="s">
        <v>134</v>
      </c>
    </row>
    <row r="91" spans="1:4" x14ac:dyDescent="0.4">
      <c r="A91" t="s">
        <v>368</v>
      </c>
    </row>
    <row r="92" spans="1:4" x14ac:dyDescent="0.4">
      <c r="A92" s="11" t="s">
        <v>369</v>
      </c>
    </row>
  </sheetData>
  <phoneticPr fontId="1"/>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E9B92-785A-48AE-9C69-B456B774F658}">
  <dimension ref="A1:AA96"/>
  <sheetViews>
    <sheetView workbookViewId="0">
      <selection activeCell="H1" sqref="H1:J6"/>
    </sheetView>
  </sheetViews>
  <sheetFormatPr defaultRowHeight="18.75" x14ac:dyDescent="0.4"/>
  <sheetData>
    <row r="1" spans="1:27" x14ac:dyDescent="0.4">
      <c r="A1" t="s">
        <v>394</v>
      </c>
      <c r="H1" t="s">
        <v>495</v>
      </c>
      <c r="I1" t="s">
        <v>493</v>
      </c>
      <c r="J1" t="s">
        <v>494</v>
      </c>
    </row>
    <row r="2" spans="1:27" x14ac:dyDescent="0.4">
      <c r="A2" t="s">
        <v>1</v>
      </c>
      <c r="B2">
        <v>800</v>
      </c>
      <c r="C2" t="s">
        <v>2</v>
      </c>
      <c r="H2" t="s">
        <v>488</v>
      </c>
      <c r="I2">
        <v>100</v>
      </c>
      <c r="J2">
        <v>100</v>
      </c>
      <c r="Z2" s="9"/>
      <c r="AA2" s="9"/>
    </row>
    <row r="3" spans="1:27" x14ac:dyDescent="0.4">
      <c r="A3" t="s">
        <v>3</v>
      </c>
      <c r="B3">
        <v>1200</v>
      </c>
      <c r="C3" t="s">
        <v>2</v>
      </c>
      <c r="H3" t="s">
        <v>490</v>
      </c>
      <c r="I3">
        <v>75</v>
      </c>
      <c r="J3">
        <v>75</v>
      </c>
      <c r="Z3" s="9"/>
      <c r="AA3" s="9"/>
    </row>
    <row r="4" spans="1:27" x14ac:dyDescent="0.4">
      <c r="A4" t="s">
        <v>4</v>
      </c>
      <c r="B4">
        <v>100</v>
      </c>
      <c r="C4" t="s">
        <v>2</v>
      </c>
      <c r="H4" t="s">
        <v>491</v>
      </c>
      <c r="I4">
        <v>100</v>
      </c>
      <c r="J4">
        <v>100</v>
      </c>
      <c r="Z4" s="9"/>
      <c r="AA4" s="9"/>
    </row>
    <row r="5" spans="1:27" x14ac:dyDescent="0.4">
      <c r="A5" t="s">
        <v>169</v>
      </c>
      <c r="B5">
        <v>44</v>
      </c>
      <c r="D5" t="s">
        <v>174</v>
      </c>
      <c r="E5" t="s">
        <v>176</v>
      </c>
      <c r="H5" t="s">
        <v>492</v>
      </c>
      <c r="I5">
        <v>100</v>
      </c>
      <c r="J5">
        <v>100</v>
      </c>
      <c r="Z5" s="9"/>
      <c r="AA5" s="9"/>
    </row>
    <row r="6" spans="1:27" x14ac:dyDescent="0.4">
      <c r="A6" t="s">
        <v>474</v>
      </c>
      <c r="H6" t="s">
        <v>489</v>
      </c>
      <c r="I6">
        <v>125</v>
      </c>
      <c r="J6">
        <v>125</v>
      </c>
      <c r="Z6" s="9"/>
      <c r="AA6" s="9"/>
    </row>
    <row r="7" spans="1:27" x14ac:dyDescent="0.4">
      <c r="A7" t="s">
        <v>475</v>
      </c>
      <c r="Z7" s="9"/>
      <c r="AA7" s="9"/>
    </row>
    <row r="8" spans="1:27" x14ac:dyDescent="0.4">
      <c r="A8" t="s">
        <v>476</v>
      </c>
      <c r="Z8" s="9"/>
      <c r="AA8" s="9"/>
    </row>
    <row r="9" spans="1:27" x14ac:dyDescent="0.4">
      <c r="A9" t="s">
        <v>477</v>
      </c>
      <c r="Z9" s="9"/>
      <c r="AA9" s="9"/>
    </row>
    <row r="10" spans="1:27" x14ac:dyDescent="0.4">
      <c r="A10" t="s">
        <v>486</v>
      </c>
      <c r="Z10" s="9"/>
      <c r="AA10" s="9"/>
    </row>
    <row r="11" spans="1:27" x14ac:dyDescent="0.4">
      <c r="Z11" s="9"/>
      <c r="AA11" s="9"/>
    </row>
    <row r="12" spans="1:27" x14ac:dyDescent="0.4">
      <c r="A12" t="s">
        <v>5</v>
      </c>
      <c r="B12">
        <v>2</v>
      </c>
      <c r="Z12" s="9"/>
      <c r="AA12" s="9"/>
    </row>
    <row r="13" spans="1:27" x14ac:dyDescent="0.4">
      <c r="A13" t="s">
        <v>6</v>
      </c>
      <c r="B13">
        <v>4</v>
      </c>
      <c r="C13" t="s">
        <v>393</v>
      </c>
      <c r="Z13" s="9"/>
      <c r="AA13" s="9"/>
    </row>
    <row r="14" spans="1:27" x14ac:dyDescent="0.4">
      <c r="A14" t="s">
        <v>8</v>
      </c>
      <c r="B14" t="s">
        <v>465</v>
      </c>
      <c r="D14" t="s">
        <v>331</v>
      </c>
      <c r="E14" t="s">
        <v>466</v>
      </c>
      <c r="G14" t="s">
        <v>348</v>
      </c>
      <c r="H14" t="s">
        <v>468</v>
      </c>
      <c r="J14" t="s">
        <v>351</v>
      </c>
      <c r="K14" t="s">
        <v>467</v>
      </c>
      <c r="Z14" s="9"/>
      <c r="AA14" s="9"/>
    </row>
    <row r="15" spans="1:27" x14ac:dyDescent="0.4">
      <c r="A15" t="s">
        <v>10</v>
      </c>
      <c r="B15" t="s">
        <v>469</v>
      </c>
      <c r="D15" t="s">
        <v>470</v>
      </c>
      <c r="Z15" s="9"/>
      <c r="AA15" s="9"/>
    </row>
    <row r="16" spans="1:27" x14ac:dyDescent="0.4">
      <c r="A16" t="s">
        <v>12</v>
      </c>
      <c r="B16" t="s">
        <v>471</v>
      </c>
      <c r="D16" t="s">
        <v>473</v>
      </c>
    </row>
    <row r="18" spans="1:12" x14ac:dyDescent="0.4">
      <c r="B18" t="s">
        <v>131</v>
      </c>
    </row>
    <row r="19" spans="1:12" x14ac:dyDescent="0.4">
      <c r="B19" t="s">
        <v>130</v>
      </c>
    </row>
    <row r="20" spans="1:12" x14ac:dyDescent="0.4">
      <c r="B20" t="s">
        <v>132</v>
      </c>
    </row>
    <row r="22" spans="1:12" x14ac:dyDescent="0.4">
      <c r="A22" t="s">
        <v>14</v>
      </c>
      <c r="B22" t="s">
        <v>15</v>
      </c>
      <c r="D22" t="s">
        <v>16</v>
      </c>
      <c r="E22" t="s">
        <v>17</v>
      </c>
      <c r="F22" t="s">
        <v>18</v>
      </c>
      <c r="G22" t="s">
        <v>19</v>
      </c>
      <c r="H22" t="s">
        <v>20</v>
      </c>
      <c r="I22" t="s">
        <v>21</v>
      </c>
      <c r="J22" t="s">
        <v>479</v>
      </c>
    </row>
    <row r="23" spans="1:12" x14ac:dyDescent="0.4">
      <c r="A23">
        <v>1</v>
      </c>
      <c r="B23" t="s">
        <v>22</v>
      </c>
      <c r="C23" t="s">
        <v>478</v>
      </c>
      <c r="D23">
        <v>50</v>
      </c>
      <c r="E23">
        <v>0.5</v>
      </c>
      <c r="F23">
        <v>1</v>
      </c>
      <c r="G23">
        <v>20</v>
      </c>
      <c r="H23">
        <v>10</v>
      </c>
      <c r="I23">
        <v>20</v>
      </c>
      <c r="J23">
        <v>5</v>
      </c>
      <c r="K23" t="s">
        <v>482</v>
      </c>
    </row>
    <row r="24" spans="1:12" x14ac:dyDescent="0.4">
      <c r="A24">
        <v>1</v>
      </c>
      <c r="B24" t="s">
        <v>22</v>
      </c>
      <c r="C24" t="s">
        <v>17</v>
      </c>
      <c r="D24">
        <v>0</v>
      </c>
      <c r="E24">
        <v>0.5</v>
      </c>
      <c r="F24">
        <v>1</v>
      </c>
      <c r="G24">
        <v>0</v>
      </c>
      <c r="H24">
        <v>0</v>
      </c>
      <c r="I24">
        <v>0</v>
      </c>
      <c r="J24">
        <v>0</v>
      </c>
      <c r="K24" t="s">
        <v>480</v>
      </c>
    </row>
    <row r="26" spans="1:12" x14ac:dyDescent="0.4">
      <c r="B26" t="s">
        <v>480</v>
      </c>
    </row>
    <row r="28" spans="1:12" x14ac:dyDescent="0.4">
      <c r="A28" t="s">
        <v>14</v>
      </c>
      <c r="B28" t="s">
        <v>15</v>
      </c>
      <c r="D28" t="s">
        <v>16</v>
      </c>
      <c r="E28" t="s">
        <v>17</v>
      </c>
      <c r="F28" t="s">
        <v>18</v>
      </c>
      <c r="G28" t="s">
        <v>19</v>
      </c>
      <c r="H28" t="s">
        <v>20</v>
      </c>
      <c r="I28" t="s">
        <v>170</v>
      </c>
      <c r="J28" t="s">
        <v>21</v>
      </c>
      <c r="K28" t="s">
        <v>179</v>
      </c>
    </row>
    <row r="30" spans="1:12" x14ac:dyDescent="0.4">
      <c r="A30">
        <v>1</v>
      </c>
      <c r="B30" t="s">
        <v>25</v>
      </c>
      <c r="C30" t="s">
        <v>363</v>
      </c>
      <c r="D30">
        <v>60</v>
      </c>
      <c r="E30">
        <v>0.4</v>
      </c>
      <c r="F30">
        <v>1</v>
      </c>
      <c r="G30">
        <v>30</v>
      </c>
      <c r="H30">
        <v>2</v>
      </c>
      <c r="I30">
        <v>1</v>
      </c>
      <c r="J30">
        <v>40</v>
      </c>
      <c r="K30">
        <v>1</v>
      </c>
      <c r="L30" t="s">
        <v>28</v>
      </c>
    </row>
    <row r="32" spans="1:12" x14ac:dyDescent="0.4">
      <c r="B32" t="s">
        <v>480</v>
      </c>
    </row>
    <row r="33" spans="1:11" x14ac:dyDescent="0.4">
      <c r="B33" t="s">
        <v>481</v>
      </c>
    </row>
    <row r="37" spans="1:11" x14ac:dyDescent="0.4">
      <c r="A37" t="s">
        <v>14</v>
      </c>
      <c r="B37" t="s">
        <v>15</v>
      </c>
      <c r="D37" t="s">
        <v>16</v>
      </c>
      <c r="E37" t="s">
        <v>17</v>
      </c>
      <c r="F37" t="s">
        <v>18</v>
      </c>
      <c r="G37" t="s">
        <v>19</v>
      </c>
      <c r="H37" t="s">
        <v>20</v>
      </c>
      <c r="I37" t="s">
        <v>21</v>
      </c>
      <c r="J37" t="s">
        <v>340</v>
      </c>
    </row>
    <row r="38" spans="1:11" x14ac:dyDescent="0.4">
      <c r="A38">
        <v>1</v>
      </c>
      <c r="B38" t="s">
        <v>22</v>
      </c>
      <c r="C38" t="s">
        <v>478</v>
      </c>
      <c r="D38">
        <v>50</v>
      </c>
      <c r="E38">
        <v>0.5</v>
      </c>
      <c r="F38">
        <v>1</v>
      </c>
      <c r="G38">
        <v>20</v>
      </c>
      <c r="H38">
        <v>10</v>
      </c>
      <c r="I38">
        <v>20</v>
      </c>
      <c r="J38">
        <v>5</v>
      </c>
      <c r="K38" t="s">
        <v>482</v>
      </c>
    </row>
    <row r="39" spans="1:11" x14ac:dyDescent="0.4">
      <c r="A39">
        <v>1</v>
      </c>
      <c r="B39" t="s">
        <v>22</v>
      </c>
      <c r="C39" t="s">
        <v>17</v>
      </c>
      <c r="D39">
        <v>0</v>
      </c>
      <c r="E39">
        <v>0.5</v>
      </c>
      <c r="F39">
        <v>1</v>
      </c>
      <c r="G39">
        <v>0</v>
      </c>
      <c r="H39">
        <v>0</v>
      </c>
      <c r="I39">
        <v>0</v>
      </c>
      <c r="J39">
        <v>0</v>
      </c>
      <c r="K39" t="s">
        <v>480</v>
      </c>
    </row>
    <row r="41" spans="1:11" x14ac:dyDescent="0.4">
      <c r="A41">
        <v>2</v>
      </c>
      <c r="B41" t="s">
        <v>22</v>
      </c>
      <c r="C41" t="s">
        <v>478</v>
      </c>
      <c r="D41">
        <v>50</v>
      </c>
      <c r="E41">
        <v>0.5</v>
      </c>
      <c r="F41">
        <v>1</v>
      </c>
      <c r="G41">
        <v>20</v>
      </c>
      <c r="H41">
        <v>10</v>
      </c>
      <c r="I41">
        <v>20</v>
      </c>
      <c r="J41">
        <v>5</v>
      </c>
      <c r="K41" t="s">
        <v>482</v>
      </c>
    </row>
    <row r="42" spans="1:11" x14ac:dyDescent="0.4">
      <c r="A42">
        <v>2</v>
      </c>
      <c r="B42" t="s">
        <v>22</v>
      </c>
      <c r="C42" t="s">
        <v>17</v>
      </c>
      <c r="D42">
        <v>0</v>
      </c>
      <c r="E42">
        <v>0.5</v>
      </c>
      <c r="F42">
        <v>1</v>
      </c>
      <c r="G42">
        <v>0</v>
      </c>
      <c r="H42">
        <v>0</v>
      </c>
      <c r="I42">
        <v>0</v>
      </c>
      <c r="J42">
        <v>0</v>
      </c>
      <c r="K42" t="s">
        <v>480</v>
      </c>
    </row>
    <row r="44" spans="1:11" x14ac:dyDescent="0.4">
      <c r="A44">
        <v>3</v>
      </c>
      <c r="B44" t="s">
        <v>22</v>
      </c>
      <c r="C44" t="s">
        <v>478</v>
      </c>
      <c r="D44">
        <v>50</v>
      </c>
      <c r="E44">
        <v>0.5</v>
      </c>
      <c r="F44">
        <v>1</v>
      </c>
      <c r="G44">
        <v>20</v>
      </c>
      <c r="H44">
        <v>10</v>
      </c>
      <c r="I44">
        <v>20</v>
      </c>
      <c r="J44">
        <v>5</v>
      </c>
      <c r="K44" t="s">
        <v>482</v>
      </c>
    </row>
    <row r="45" spans="1:11" x14ac:dyDescent="0.4">
      <c r="A45">
        <v>3</v>
      </c>
      <c r="B45" t="s">
        <v>22</v>
      </c>
      <c r="C45" t="s">
        <v>17</v>
      </c>
      <c r="D45">
        <v>0</v>
      </c>
      <c r="E45">
        <v>0.5</v>
      </c>
      <c r="F45">
        <v>1</v>
      </c>
      <c r="G45">
        <v>0</v>
      </c>
      <c r="H45">
        <v>0</v>
      </c>
      <c r="I45">
        <v>0</v>
      </c>
      <c r="J45">
        <v>0</v>
      </c>
      <c r="K45" t="s">
        <v>480</v>
      </c>
    </row>
    <row r="47" spans="1:11" x14ac:dyDescent="0.4">
      <c r="A47">
        <v>4</v>
      </c>
      <c r="B47" t="s">
        <v>22</v>
      </c>
      <c r="C47" t="s">
        <v>478</v>
      </c>
      <c r="D47">
        <v>50</v>
      </c>
      <c r="E47">
        <v>0.5</v>
      </c>
      <c r="F47">
        <v>1</v>
      </c>
      <c r="G47">
        <v>20</v>
      </c>
      <c r="H47">
        <v>10</v>
      </c>
      <c r="I47">
        <v>20</v>
      </c>
      <c r="J47">
        <v>5</v>
      </c>
      <c r="K47" t="s">
        <v>482</v>
      </c>
    </row>
    <row r="48" spans="1:11" x14ac:dyDescent="0.4">
      <c r="A48">
        <v>4</v>
      </c>
      <c r="B48" t="s">
        <v>22</v>
      </c>
      <c r="C48" t="s">
        <v>17</v>
      </c>
      <c r="D48">
        <v>0</v>
      </c>
      <c r="E48">
        <v>0.5</v>
      </c>
      <c r="F48">
        <v>1</v>
      </c>
      <c r="G48">
        <v>0</v>
      </c>
      <c r="H48">
        <v>0</v>
      </c>
      <c r="I48">
        <v>0</v>
      </c>
      <c r="J48">
        <v>0</v>
      </c>
      <c r="K48" t="s">
        <v>480</v>
      </c>
    </row>
    <row r="50" spans="1:12" x14ac:dyDescent="0.4">
      <c r="A50">
        <v>5</v>
      </c>
      <c r="B50" t="s">
        <v>22</v>
      </c>
      <c r="C50" t="s">
        <v>478</v>
      </c>
      <c r="D50">
        <v>50</v>
      </c>
      <c r="E50">
        <v>0.5</v>
      </c>
      <c r="F50">
        <v>1</v>
      </c>
      <c r="G50">
        <v>20</v>
      </c>
      <c r="H50">
        <v>10</v>
      </c>
      <c r="I50">
        <v>20</v>
      </c>
      <c r="J50">
        <v>5</v>
      </c>
      <c r="K50" t="s">
        <v>482</v>
      </c>
    </row>
    <row r="51" spans="1:12" x14ac:dyDescent="0.4">
      <c r="A51">
        <v>5</v>
      </c>
      <c r="B51" t="s">
        <v>22</v>
      </c>
      <c r="C51" t="s">
        <v>17</v>
      </c>
      <c r="D51">
        <v>0</v>
      </c>
      <c r="E51">
        <v>0.5</v>
      </c>
      <c r="F51">
        <v>1</v>
      </c>
      <c r="G51">
        <v>0</v>
      </c>
      <c r="H51">
        <v>0</v>
      </c>
      <c r="I51">
        <v>0</v>
      </c>
      <c r="J51">
        <v>0</v>
      </c>
      <c r="K51" t="s">
        <v>480</v>
      </c>
    </row>
    <row r="53" spans="1:12" x14ac:dyDescent="0.4">
      <c r="A53">
        <v>6</v>
      </c>
      <c r="B53" t="s">
        <v>22</v>
      </c>
      <c r="C53" t="s">
        <v>478</v>
      </c>
      <c r="D53">
        <v>50</v>
      </c>
      <c r="E53">
        <v>0.5</v>
      </c>
      <c r="F53">
        <v>1</v>
      </c>
      <c r="G53">
        <v>20</v>
      </c>
      <c r="H53">
        <v>10</v>
      </c>
      <c r="I53">
        <v>20</v>
      </c>
      <c r="J53">
        <v>5</v>
      </c>
      <c r="K53" t="s">
        <v>482</v>
      </c>
    </row>
    <row r="54" spans="1:12" x14ac:dyDescent="0.4">
      <c r="A54">
        <v>6</v>
      </c>
      <c r="B54" t="s">
        <v>22</v>
      </c>
      <c r="C54" t="s">
        <v>17</v>
      </c>
      <c r="D54">
        <v>0</v>
      </c>
      <c r="E54">
        <v>0.5</v>
      </c>
      <c r="F54">
        <v>1</v>
      </c>
      <c r="G54">
        <v>0</v>
      </c>
      <c r="H54">
        <v>0</v>
      </c>
      <c r="I54">
        <v>0</v>
      </c>
      <c r="J54">
        <v>0</v>
      </c>
      <c r="K54" t="s">
        <v>480</v>
      </c>
    </row>
    <row r="56" spans="1:12" x14ac:dyDescent="0.4">
      <c r="A56">
        <v>7</v>
      </c>
      <c r="B56" t="s">
        <v>22</v>
      </c>
      <c r="C56" t="s">
        <v>478</v>
      </c>
      <c r="D56">
        <v>50</v>
      </c>
      <c r="E56">
        <v>0.5</v>
      </c>
      <c r="F56">
        <v>1</v>
      </c>
      <c r="G56">
        <v>20</v>
      </c>
      <c r="H56">
        <v>10</v>
      </c>
      <c r="I56">
        <v>20</v>
      </c>
      <c r="J56">
        <v>5</v>
      </c>
      <c r="K56" t="s">
        <v>482</v>
      </c>
    </row>
    <row r="57" spans="1:12" x14ac:dyDescent="0.4">
      <c r="A57">
        <v>7</v>
      </c>
      <c r="B57" t="s">
        <v>22</v>
      </c>
      <c r="C57" t="s">
        <v>17</v>
      </c>
      <c r="D57">
        <v>0</v>
      </c>
      <c r="E57">
        <v>0.5</v>
      </c>
      <c r="F57">
        <v>1</v>
      </c>
      <c r="G57">
        <v>0</v>
      </c>
      <c r="H57">
        <v>0</v>
      </c>
      <c r="I57">
        <v>0</v>
      </c>
      <c r="J57">
        <v>0</v>
      </c>
      <c r="K57" t="s">
        <v>480</v>
      </c>
    </row>
    <row r="59" spans="1:12" x14ac:dyDescent="0.4">
      <c r="A59" t="s">
        <v>14</v>
      </c>
      <c r="B59" t="s">
        <v>15</v>
      </c>
      <c r="D59" t="s">
        <v>16</v>
      </c>
      <c r="E59" t="s">
        <v>17</v>
      </c>
      <c r="F59" t="s">
        <v>18</v>
      </c>
      <c r="G59" t="s">
        <v>19</v>
      </c>
      <c r="H59" t="s">
        <v>20</v>
      </c>
      <c r="I59" t="s">
        <v>170</v>
      </c>
      <c r="J59" t="s">
        <v>21</v>
      </c>
      <c r="K59" t="s">
        <v>179</v>
      </c>
    </row>
    <row r="60" spans="1:12" x14ac:dyDescent="0.4">
      <c r="A60">
        <v>1</v>
      </c>
    </row>
    <row r="61" spans="1:12" x14ac:dyDescent="0.4">
      <c r="A61">
        <v>1</v>
      </c>
      <c r="B61" t="s">
        <v>25</v>
      </c>
      <c r="C61" t="s">
        <v>363</v>
      </c>
      <c r="D61">
        <v>60</v>
      </c>
      <c r="E61">
        <v>0.4</v>
      </c>
      <c r="F61">
        <v>1</v>
      </c>
      <c r="G61">
        <v>30</v>
      </c>
      <c r="H61">
        <v>2</v>
      </c>
      <c r="I61">
        <v>1</v>
      </c>
      <c r="J61">
        <v>40</v>
      </c>
      <c r="K61">
        <v>1</v>
      </c>
      <c r="L61" t="s">
        <v>28</v>
      </c>
    </row>
    <row r="63" spans="1:12" x14ac:dyDescent="0.4">
      <c r="A63">
        <v>2</v>
      </c>
    </row>
    <row r="64" spans="1:12" x14ac:dyDescent="0.4">
      <c r="A64">
        <v>2</v>
      </c>
      <c r="B64" t="s">
        <v>25</v>
      </c>
      <c r="C64" t="s">
        <v>363</v>
      </c>
      <c r="D64">
        <v>60</v>
      </c>
      <c r="E64">
        <v>0.4</v>
      </c>
      <c r="F64">
        <v>1</v>
      </c>
      <c r="G64">
        <v>30</v>
      </c>
      <c r="H64">
        <v>2</v>
      </c>
      <c r="I64">
        <v>1</v>
      </c>
      <c r="J64">
        <v>40</v>
      </c>
      <c r="K64">
        <v>1</v>
      </c>
      <c r="L64" t="s">
        <v>28</v>
      </c>
    </row>
    <row r="66" spans="1:12" x14ac:dyDescent="0.4">
      <c r="A66">
        <v>3</v>
      </c>
    </row>
    <row r="67" spans="1:12" x14ac:dyDescent="0.4">
      <c r="A67">
        <v>3</v>
      </c>
      <c r="B67" t="s">
        <v>25</v>
      </c>
      <c r="C67" t="s">
        <v>363</v>
      </c>
      <c r="D67">
        <v>60</v>
      </c>
      <c r="E67">
        <v>0.4</v>
      </c>
      <c r="F67">
        <v>1</v>
      </c>
      <c r="G67">
        <v>30</v>
      </c>
      <c r="H67">
        <v>2</v>
      </c>
      <c r="I67">
        <v>1</v>
      </c>
      <c r="J67">
        <v>40</v>
      </c>
      <c r="K67">
        <v>1</v>
      </c>
      <c r="L67" t="s">
        <v>28</v>
      </c>
    </row>
    <row r="69" spans="1:12" x14ac:dyDescent="0.4">
      <c r="A69">
        <v>4</v>
      </c>
    </row>
    <row r="70" spans="1:12" x14ac:dyDescent="0.4">
      <c r="A70">
        <v>4</v>
      </c>
      <c r="B70" t="s">
        <v>25</v>
      </c>
      <c r="C70" t="s">
        <v>363</v>
      </c>
      <c r="D70">
        <v>60</v>
      </c>
      <c r="E70">
        <v>0.4</v>
      </c>
      <c r="F70">
        <v>1</v>
      </c>
      <c r="G70">
        <v>30</v>
      </c>
      <c r="H70">
        <v>2</v>
      </c>
      <c r="I70">
        <v>1</v>
      </c>
      <c r="J70">
        <v>40</v>
      </c>
      <c r="K70">
        <v>1</v>
      </c>
      <c r="L70" t="s">
        <v>28</v>
      </c>
    </row>
    <row r="72" spans="1:12" x14ac:dyDescent="0.4">
      <c r="A72">
        <v>5</v>
      </c>
    </row>
    <row r="73" spans="1:12" x14ac:dyDescent="0.4">
      <c r="A73">
        <v>5</v>
      </c>
      <c r="B73" t="s">
        <v>25</v>
      </c>
      <c r="C73" t="s">
        <v>363</v>
      </c>
      <c r="D73">
        <v>60</v>
      </c>
      <c r="E73">
        <v>0.4</v>
      </c>
      <c r="F73">
        <v>1</v>
      </c>
      <c r="G73">
        <v>30</v>
      </c>
      <c r="H73">
        <v>2</v>
      </c>
      <c r="I73">
        <v>1</v>
      </c>
      <c r="J73">
        <v>40</v>
      </c>
      <c r="K73">
        <v>1</v>
      </c>
      <c r="L73" t="s">
        <v>28</v>
      </c>
    </row>
    <row r="75" spans="1:12" x14ac:dyDescent="0.4">
      <c r="A75">
        <v>6</v>
      </c>
    </row>
    <row r="76" spans="1:12" x14ac:dyDescent="0.4">
      <c r="A76">
        <v>6</v>
      </c>
      <c r="B76" t="s">
        <v>25</v>
      </c>
      <c r="C76" t="s">
        <v>363</v>
      </c>
      <c r="D76">
        <v>60</v>
      </c>
      <c r="E76">
        <v>0.4</v>
      </c>
      <c r="F76">
        <v>1</v>
      </c>
      <c r="G76">
        <v>30</v>
      </c>
      <c r="H76">
        <v>2</v>
      </c>
      <c r="I76">
        <v>1</v>
      </c>
      <c r="J76">
        <v>40</v>
      </c>
      <c r="K76">
        <v>1</v>
      </c>
      <c r="L76" t="s">
        <v>28</v>
      </c>
    </row>
    <row r="78" spans="1:12" x14ac:dyDescent="0.4">
      <c r="A78">
        <v>7</v>
      </c>
    </row>
    <row r="79" spans="1:12" x14ac:dyDescent="0.4">
      <c r="A79">
        <v>7</v>
      </c>
      <c r="B79" t="s">
        <v>25</v>
      </c>
      <c r="C79" t="s">
        <v>363</v>
      </c>
      <c r="D79">
        <v>60</v>
      </c>
      <c r="E79">
        <v>0.4</v>
      </c>
      <c r="F79">
        <v>1</v>
      </c>
      <c r="G79">
        <v>30</v>
      </c>
      <c r="H79">
        <v>2</v>
      </c>
      <c r="I79">
        <v>1</v>
      </c>
      <c r="J79">
        <v>40</v>
      </c>
      <c r="K79">
        <v>1</v>
      </c>
      <c r="L79" t="s">
        <v>28</v>
      </c>
    </row>
    <row r="81" spans="1:4" x14ac:dyDescent="0.4">
      <c r="A81" t="s">
        <v>32</v>
      </c>
    </row>
    <row r="82" spans="1:4" x14ac:dyDescent="0.4">
      <c r="A82" t="s">
        <v>33</v>
      </c>
    </row>
    <row r="83" spans="1:4" x14ac:dyDescent="0.4">
      <c r="A83" t="s">
        <v>487</v>
      </c>
    </row>
    <row r="85" spans="1:4" x14ac:dyDescent="0.4">
      <c r="A85" t="s">
        <v>34</v>
      </c>
    </row>
    <row r="86" spans="1:4" x14ac:dyDescent="0.4">
      <c r="A86" t="s">
        <v>487</v>
      </c>
    </row>
    <row r="89" spans="1:4" x14ac:dyDescent="0.4">
      <c r="A89" t="s">
        <v>35</v>
      </c>
    </row>
    <row r="90" spans="1:4" x14ac:dyDescent="0.4">
      <c r="A90" t="s">
        <v>36</v>
      </c>
    </row>
    <row r="91" spans="1:4" x14ac:dyDescent="0.4">
      <c r="A91" t="s">
        <v>37</v>
      </c>
      <c r="B91" t="s">
        <v>483</v>
      </c>
      <c r="D91" t="s">
        <v>134</v>
      </c>
    </row>
    <row r="92" spans="1:4" x14ac:dyDescent="0.4">
      <c r="A92" t="s">
        <v>485</v>
      </c>
    </row>
    <row r="93" spans="1:4" x14ac:dyDescent="0.4">
      <c r="A93" t="s">
        <v>484</v>
      </c>
    </row>
    <row r="96" spans="1:4" x14ac:dyDescent="0.4">
      <c r="A96" s="10"/>
    </row>
  </sheetData>
  <phoneticPr fontId="1"/>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829DA-3810-4F98-BD8D-4E36E3FF81AB}">
  <dimension ref="A1:AA120"/>
  <sheetViews>
    <sheetView tabSelected="1" topLeftCell="A86" workbookViewId="0">
      <selection activeCell="H94" sqref="H94"/>
    </sheetView>
  </sheetViews>
  <sheetFormatPr defaultRowHeight="18.75" x14ac:dyDescent="0.4"/>
  <sheetData>
    <row r="1" spans="1:27" x14ac:dyDescent="0.4">
      <c r="A1" t="s">
        <v>501</v>
      </c>
      <c r="H1" t="s">
        <v>495</v>
      </c>
      <c r="I1" t="s">
        <v>493</v>
      </c>
      <c r="J1" t="s">
        <v>494</v>
      </c>
    </row>
    <row r="2" spans="1:27" x14ac:dyDescent="0.4">
      <c r="A2" t="s">
        <v>1</v>
      </c>
      <c r="B2">
        <v>750</v>
      </c>
      <c r="C2" t="s">
        <v>2</v>
      </c>
      <c r="H2" t="s">
        <v>488</v>
      </c>
      <c r="I2">
        <v>100</v>
      </c>
      <c r="J2">
        <v>100</v>
      </c>
      <c r="Z2" s="9"/>
      <c r="AA2" s="9"/>
    </row>
    <row r="3" spans="1:27" x14ac:dyDescent="0.4">
      <c r="A3" t="s">
        <v>3</v>
      </c>
      <c r="B3">
        <v>1250</v>
      </c>
      <c r="C3" t="s">
        <v>2</v>
      </c>
      <c r="H3" t="s">
        <v>490</v>
      </c>
      <c r="I3">
        <v>125</v>
      </c>
      <c r="J3">
        <v>125</v>
      </c>
      <c r="Z3" s="9"/>
      <c r="AA3" s="9"/>
    </row>
    <row r="4" spans="1:27" x14ac:dyDescent="0.4">
      <c r="A4" t="s">
        <v>4</v>
      </c>
      <c r="B4">
        <v>100</v>
      </c>
      <c r="C4" t="s">
        <v>2</v>
      </c>
      <c r="H4" t="s">
        <v>491</v>
      </c>
      <c r="I4">
        <v>100</v>
      </c>
      <c r="J4">
        <v>100</v>
      </c>
      <c r="Z4" s="9"/>
      <c r="AA4" s="9"/>
    </row>
    <row r="5" spans="1:27" x14ac:dyDescent="0.4">
      <c r="A5" t="s">
        <v>169</v>
      </c>
      <c r="B5">
        <v>28</v>
      </c>
      <c r="D5" t="s">
        <v>174</v>
      </c>
      <c r="E5" t="s">
        <v>175</v>
      </c>
      <c r="H5" t="s">
        <v>492</v>
      </c>
      <c r="I5">
        <v>75</v>
      </c>
      <c r="J5">
        <v>75</v>
      </c>
      <c r="Z5" s="9"/>
      <c r="AA5" s="9"/>
    </row>
    <row r="6" spans="1:27" x14ac:dyDescent="0.4">
      <c r="H6" t="s">
        <v>489</v>
      </c>
      <c r="I6">
        <v>100</v>
      </c>
      <c r="J6">
        <v>100</v>
      </c>
      <c r="Z6" s="9"/>
      <c r="AA6" s="9"/>
    </row>
    <row r="7" spans="1:27" x14ac:dyDescent="0.4">
      <c r="A7" t="s">
        <v>503</v>
      </c>
      <c r="Z7" s="9"/>
      <c r="AA7" s="9"/>
    </row>
    <row r="8" spans="1:27" x14ac:dyDescent="0.4">
      <c r="A8" t="s">
        <v>517</v>
      </c>
      <c r="Z8" s="9"/>
      <c r="AA8" s="9"/>
    </row>
    <row r="9" spans="1:27" x14ac:dyDescent="0.4">
      <c r="A9" t="s">
        <v>502</v>
      </c>
      <c r="Z9" s="9"/>
      <c r="AA9" s="9"/>
    </row>
    <row r="10" spans="1:27" x14ac:dyDescent="0.4">
      <c r="Z10" s="9"/>
      <c r="AA10" s="9"/>
    </row>
    <row r="11" spans="1:27" x14ac:dyDescent="0.4">
      <c r="Z11" s="9"/>
      <c r="AA11" s="9"/>
    </row>
    <row r="12" spans="1:27" x14ac:dyDescent="0.4">
      <c r="A12" t="s">
        <v>5</v>
      </c>
      <c r="B12">
        <v>2</v>
      </c>
      <c r="Z12" s="9"/>
      <c r="AA12" s="9"/>
    </row>
    <row r="13" spans="1:27" x14ac:dyDescent="0.4">
      <c r="A13" t="s">
        <v>6</v>
      </c>
      <c r="B13">
        <v>5</v>
      </c>
      <c r="C13" t="s">
        <v>397</v>
      </c>
      <c r="Z13" s="9"/>
      <c r="AA13" s="9"/>
    </row>
    <row r="14" spans="1:27" x14ac:dyDescent="0.4">
      <c r="A14" t="s">
        <v>8</v>
      </c>
      <c r="B14" t="s">
        <v>504</v>
      </c>
      <c r="D14" t="s">
        <v>331</v>
      </c>
      <c r="E14" t="s">
        <v>505</v>
      </c>
      <c r="G14" t="s">
        <v>348</v>
      </c>
      <c r="H14" t="s">
        <v>506</v>
      </c>
      <c r="J14" t="s">
        <v>351</v>
      </c>
      <c r="K14" t="s">
        <v>507</v>
      </c>
      <c r="Z14" s="9"/>
      <c r="AA14" s="9"/>
    </row>
    <row r="15" spans="1:27" x14ac:dyDescent="0.4">
      <c r="A15" t="s">
        <v>10</v>
      </c>
      <c r="B15" t="s">
        <v>508</v>
      </c>
      <c r="D15" t="s">
        <v>509</v>
      </c>
      <c r="Z15" s="9"/>
      <c r="AA15" s="9"/>
    </row>
    <row r="16" spans="1:27" x14ac:dyDescent="0.4">
      <c r="A16" t="s">
        <v>12</v>
      </c>
      <c r="B16" t="s">
        <v>510</v>
      </c>
    </row>
    <row r="18" spans="2:2" x14ac:dyDescent="0.4">
      <c r="B18" t="s">
        <v>131</v>
      </c>
    </row>
    <row r="19" spans="2:2" x14ac:dyDescent="0.4">
      <c r="B19" t="s">
        <v>130</v>
      </c>
    </row>
    <row r="20" spans="2:2" x14ac:dyDescent="0.4">
      <c r="B20" t="s">
        <v>132</v>
      </c>
    </row>
    <row r="34" spans="1:11" x14ac:dyDescent="0.4">
      <c r="A34" t="s">
        <v>518</v>
      </c>
    </row>
    <row r="37" spans="1:11" x14ac:dyDescent="0.4">
      <c r="A37" t="s">
        <v>14</v>
      </c>
      <c r="B37" t="s">
        <v>15</v>
      </c>
      <c r="D37" t="s">
        <v>16</v>
      </c>
      <c r="E37" t="s">
        <v>17</v>
      </c>
      <c r="F37" t="s">
        <v>18</v>
      </c>
      <c r="G37" t="s">
        <v>19</v>
      </c>
      <c r="H37" t="s">
        <v>20</v>
      </c>
      <c r="I37" t="s">
        <v>21</v>
      </c>
      <c r="J37" t="s">
        <v>340</v>
      </c>
    </row>
    <row r="38" spans="1:11" x14ac:dyDescent="0.4">
      <c r="A38">
        <v>1</v>
      </c>
      <c r="B38" t="s">
        <v>516</v>
      </c>
      <c r="C38" t="s">
        <v>514</v>
      </c>
      <c r="D38">
        <v>0</v>
      </c>
      <c r="E38">
        <v>0.5</v>
      </c>
      <c r="F38">
        <v>1</v>
      </c>
      <c r="G38">
        <v>20</v>
      </c>
      <c r="H38">
        <v>15</v>
      </c>
      <c r="I38">
        <v>1</v>
      </c>
      <c r="J38">
        <v>20</v>
      </c>
      <c r="K38" t="s">
        <v>515</v>
      </c>
    </row>
    <row r="39" spans="1:11" x14ac:dyDescent="0.4">
      <c r="A39">
        <v>1</v>
      </c>
      <c r="B39" t="s">
        <v>516</v>
      </c>
      <c r="C39" t="s">
        <v>17</v>
      </c>
      <c r="D39">
        <v>0</v>
      </c>
      <c r="E39">
        <v>1.5</v>
      </c>
      <c r="F39">
        <v>1</v>
      </c>
      <c r="G39">
        <v>0</v>
      </c>
      <c r="H39">
        <v>0</v>
      </c>
      <c r="I39">
        <v>0</v>
      </c>
      <c r="J39">
        <v>0</v>
      </c>
    </row>
    <row r="41" spans="1:11" x14ac:dyDescent="0.4">
      <c r="A41">
        <v>2</v>
      </c>
      <c r="B41" t="s">
        <v>516</v>
      </c>
      <c r="C41" t="s">
        <v>514</v>
      </c>
      <c r="D41">
        <v>0</v>
      </c>
      <c r="E41">
        <v>0.5</v>
      </c>
      <c r="F41">
        <v>1</v>
      </c>
      <c r="G41">
        <v>20</v>
      </c>
      <c r="H41">
        <v>15</v>
      </c>
      <c r="I41">
        <v>1</v>
      </c>
      <c r="J41">
        <v>20</v>
      </c>
      <c r="K41" t="s">
        <v>515</v>
      </c>
    </row>
    <row r="42" spans="1:11" x14ac:dyDescent="0.4">
      <c r="A42">
        <v>2</v>
      </c>
      <c r="B42" t="s">
        <v>516</v>
      </c>
      <c r="C42" t="s">
        <v>17</v>
      </c>
      <c r="D42">
        <v>0</v>
      </c>
      <c r="E42">
        <v>1.5</v>
      </c>
      <c r="F42">
        <v>1</v>
      </c>
      <c r="G42">
        <v>0</v>
      </c>
      <c r="H42">
        <v>0</v>
      </c>
      <c r="I42">
        <v>0</v>
      </c>
      <c r="J42">
        <v>0</v>
      </c>
    </row>
    <row r="44" spans="1:11" x14ac:dyDescent="0.4">
      <c r="A44">
        <v>3</v>
      </c>
      <c r="B44" t="s">
        <v>516</v>
      </c>
      <c r="C44" t="s">
        <v>514</v>
      </c>
      <c r="D44">
        <v>0</v>
      </c>
      <c r="E44">
        <v>0.5</v>
      </c>
      <c r="F44">
        <v>2</v>
      </c>
      <c r="G44">
        <v>20</v>
      </c>
      <c r="H44">
        <v>15</v>
      </c>
      <c r="I44">
        <v>1</v>
      </c>
      <c r="J44">
        <v>20</v>
      </c>
      <c r="K44" t="s">
        <v>515</v>
      </c>
    </row>
    <row r="45" spans="1:11" x14ac:dyDescent="0.4">
      <c r="A45">
        <v>3</v>
      </c>
      <c r="B45" t="s">
        <v>516</v>
      </c>
      <c r="C45" t="s">
        <v>17</v>
      </c>
      <c r="D45">
        <v>0</v>
      </c>
      <c r="E45">
        <v>1.5</v>
      </c>
      <c r="F45">
        <v>1</v>
      </c>
      <c r="G45">
        <v>0</v>
      </c>
      <c r="H45">
        <v>0</v>
      </c>
      <c r="I45">
        <v>0</v>
      </c>
      <c r="J45">
        <v>0</v>
      </c>
    </row>
    <row r="47" spans="1:11" x14ac:dyDescent="0.4">
      <c r="A47">
        <v>4</v>
      </c>
      <c r="B47" t="s">
        <v>516</v>
      </c>
      <c r="C47" t="s">
        <v>514</v>
      </c>
      <c r="D47">
        <v>0</v>
      </c>
      <c r="E47">
        <v>0.5</v>
      </c>
      <c r="F47">
        <v>2</v>
      </c>
      <c r="G47">
        <v>20</v>
      </c>
      <c r="H47">
        <v>15</v>
      </c>
      <c r="I47">
        <v>1</v>
      </c>
      <c r="J47">
        <v>20</v>
      </c>
      <c r="K47" t="s">
        <v>515</v>
      </c>
    </row>
    <row r="48" spans="1:11" x14ac:dyDescent="0.4">
      <c r="A48">
        <v>4</v>
      </c>
      <c r="B48" t="s">
        <v>516</v>
      </c>
      <c r="C48" t="s">
        <v>17</v>
      </c>
      <c r="D48">
        <v>0</v>
      </c>
      <c r="E48">
        <v>1.5</v>
      </c>
      <c r="F48">
        <v>1</v>
      </c>
      <c r="G48">
        <v>0</v>
      </c>
      <c r="H48">
        <v>0</v>
      </c>
      <c r="I48">
        <v>0</v>
      </c>
      <c r="J48">
        <v>0</v>
      </c>
    </row>
    <row r="50" spans="1:11" x14ac:dyDescent="0.4">
      <c r="A50">
        <v>5</v>
      </c>
      <c r="B50" t="s">
        <v>516</v>
      </c>
      <c r="C50" t="s">
        <v>514</v>
      </c>
      <c r="D50">
        <v>0</v>
      </c>
      <c r="E50">
        <v>0.5</v>
      </c>
      <c r="F50">
        <v>3</v>
      </c>
      <c r="G50">
        <v>20</v>
      </c>
      <c r="H50">
        <v>15</v>
      </c>
      <c r="I50">
        <v>1</v>
      </c>
      <c r="J50">
        <v>20</v>
      </c>
      <c r="K50" t="s">
        <v>515</v>
      </c>
    </row>
    <row r="51" spans="1:11" x14ac:dyDescent="0.4">
      <c r="A51">
        <v>5</v>
      </c>
      <c r="B51" t="s">
        <v>516</v>
      </c>
      <c r="C51" t="s">
        <v>17</v>
      </c>
      <c r="D51">
        <v>0</v>
      </c>
      <c r="E51">
        <v>1.5</v>
      </c>
      <c r="F51">
        <v>1</v>
      </c>
      <c r="G51">
        <v>0</v>
      </c>
      <c r="H51">
        <v>0</v>
      </c>
      <c r="I51">
        <v>0</v>
      </c>
      <c r="J51">
        <v>0</v>
      </c>
    </row>
    <row r="53" spans="1:11" x14ac:dyDescent="0.4">
      <c r="A53">
        <v>6</v>
      </c>
      <c r="B53" t="s">
        <v>516</v>
      </c>
      <c r="C53" t="s">
        <v>514</v>
      </c>
      <c r="D53">
        <v>0</v>
      </c>
      <c r="E53">
        <v>0.5</v>
      </c>
      <c r="F53">
        <v>3</v>
      </c>
      <c r="G53">
        <v>20</v>
      </c>
      <c r="H53">
        <v>15</v>
      </c>
      <c r="I53">
        <v>1</v>
      </c>
      <c r="J53">
        <v>20</v>
      </c>
      <c r="K53" t="s">
        <v>515</v>
      </c>
    </row>
    <row r="54" spans="1:11" x14ac:dyDescent="0.4">
      <c r="A54">
        <v>6</v>
      </c>
      <c r="B54" t="s">
        <v>516</v>
      </c>
      <c r="C54" t="s">
        <v>17</v>
      </c>
      <c r="D54">
        <v>0</v>
      </c>
      <c r="E54">
        <v>1.5</v>
      </c>
      <c r="F54">
        <v>1</v>
      </c>
      <c r="G54">
        <v>0</v>
      </c>
      <c r="H54">
        <v>0</v>
      </c>
      <c r="I54">
        <v>0</v>
      </c>
      <c r="J54">
        <v>0</v>
      </c>
    </row>
    <row r="56" spans="1:11" x14ac:dyDescent="0.4">
      <c r="A56">
        <v>7</v>
      </c>
      <c r="B56" t="s">
        <v>516</v>
      </c>
      <c r="C56" t="s">
        <v>514</v>
      </c>
      <c r="D56">
        <v>0</v>
      </c>
      <c r="E56">
        <v>0.5</v>
      </c>
      <c r="F56">
        <v>4</v>
      </c>
      <c r="G56">
        <v>20</v>
      </c>
      <c r="H56">
        <v>15</v>
      </c>
      <c r="I56">
        <v>1</v>
      </c>
      <c r="J56">
        <v>20</v>
      </c>
      <c r="K56" t="s">
        <v>515</v>
      </c>
    </row>
    <row r="57" spans="1:11" x14ac:dyDescent="0.4">
      <c r="A57">
        <v>7</v>
      </c>
      <c r="B57" t="s">
        <v>516</v>
      </c>
      <c r="C57" t="s">
        <v>17</v>
      </c>
      <c r="D57">
        <v>0</v>
      </c>
      <c r="E57">
        <v>1.5</v>
      </c>
      <c r="F57">
        <v>1</v>
      </c>
      <c r="G57">
        <v>0</v>
      </c>
      <c r="H57">
        <v>0</v>
      </c>
      <c r="I57">
        <v>0</v>
      </c>
      <c r="J57">
        <v>0</v>
      </c>
    </row>
    <row r="81" spans="1:5" x14ac:dyDescent="0.4">
      <c r="A81" t="s">
        <v>32</v>
      </c>
    </row>
    <row r="82" spans="1:5" x14ac:dyDescent="0.4">
      <c r="A82" t="s">
        <v>33</v>
      </c>
    </row>
    <row r="83" spans="1:5" x14ac:dyDescent="0.4">
      <c r="A83" t="s">
        <v>624</v>
      </c>
    </row>
    <row r="84" spans="1:5" x14ac:dyDescent="0.4">
      <c r="A84" t="s">
        <v>625</v>
      </c>
    </row>
    <row r="85" spans="1:5" x14ac:dyDescent="0.4">
      <c r="A85" t="s">
        <v>635</v>
      </c>
      <c r="E85" t="s">
        <v>636</v>
      </c>
    </row>
    <row r="87" spans="1:5" x14ac:dyDescent="0.4">
      <c r="A87" t="s">
        <v>34</v>
      </c>
    </row>
    <row r="88" spans="1:5" x14ac:dyDescent="0.4">
      <c r="A88" t="s">
        <v>628</v>
      </c>
    </row>
    <row r="89" spans="1:5" x14ac:dyDescent="0.4">
      <c r="A89" t="s">
        <v>635</v>
      </c>
      <c r="E89" t="s">
        <v>636</v>
      </c>
    </row>
    <row r="92" spans="1:5" x14ac:dyDescent="0.4">
      <c r="A92" t="s">
        <v>35</v>
      </c>
    </row>
    <row r="93" spans="1:5" x14ac:dyDescent="0.4">
      <c r="A93" t="s">
        <v>36</v>
      </c>
    </row>
    <row r="94" spans="1:5" x14ac:dyDescent="0.4">
      <c r="A94" t="s">
        <v>37</v>
      </c>
      <c r="B94" t="s">
        <v>637</v>
      </c>
      <c r="D94" t="s">
        <v>530</v>
      </c>
    </row>
    <row r="95" spans="1:5" x14ac:dyDescent="0.4">
      <c r="A95" t="s">
        <v>511</v>
      </c>
    </row>
    <row r="96" spans="1:5" x14ac:dyDescent="0.4">
      <c r="A96" t="s">
        <v>10</v>
      </c>
      <c r="B96" t="s">
        <v>508</v>
      </c>
      <c r="D96" t="s">
        <v>509</v>
      </c>
    </row>
    <row r="97" spans="1:16" x14ac:dyDescent="0.4">
      <c r="A97" t="s">
        <v>12</v>
      </c>
      <c r="B97" t="s">
        <v>510</v>
      </c>
    </row>
    <row r="99" spans="1:16" x14ac:dyDescent="0.4">
      <c r="A99" t="s">
        <v>513</v>
      </c>
    </row>
    <row r="100" spans="1:16" x14ac:dyDescent="0.4">
      <c r="A100" t="s">
        <v>14</v>
      </c>
      <c r="B100" t="s">
        <v>15</v>
      </c>
      <c r="D100" t="s">
        <v>16</v>
      </c>
      <c r="E100" t="s">
        <v>17</v>
      </c>
      <c r="F100" t="s">
        <v>18</v>
      </c>
      <c r="G100" t="s">
        <v>19</v>
      </c>
      <c r="H100" t="s">
        <v>20</v>
      </c>
      <c r="I100" t="s">
        <v>170</v>
      </c>
      <c r="J100" t="s">
        <v>21</v>
      </c>
      <c r="K100" t="s">
        <v>179</v>
      </c>
      <c r="P100" t="s">
        <v>135</v>
      </c>
    </row>
    <row r="101" spans="1:16" x14ac:dyDescent="0.4">
      <c r="A101">
        <v>1</v>
      </c>
      <c r="B101" t="s">
        <v>512</v>
      </c>
      <c r="C101" t="s">
        <v>143</v>
      </c>
      <c r="D101">
        <v>120</v>
      </c>
      <c r="E101">
        <v>0.5</v>
      </c>
      <c r="F101">
        <v>1</v>
      </c>
      <c r="G101">
        <v>28</v>
      </c>
      <c r="H101">
        <v>6</v>
      </c>
      <c r="I101">
        <v>3</v>
      </c>
      <c r="J101">
        <v>5</v>
      </c>
      <c r="K101">
        <v>3</v>
      </c>
      <c r="L101" t="s">
        <v>145</v>
      </c>
      <c r="P101">
        <f>(1/E101)*D101</f>
        <v>240</v>
      </c>
    </row>
    <row r="102" spans="1:16" x14ac:dyDescent="0.4">
      <c r="A102">
        <v>1</v>
      </c>
      <c r="B102" t="s">
        <v>512</v>
      </c>
      <c r="C102" t="s">
        <v>142</v>
      </c>
      <c r="D102">
        <v>120</v>
      </c>
      <c r="E102">
        <v>0.8</v>
      </c>
      <c r="F102">
        <v>1</v>
      </c>
      <c r="G102">
        <v>28</v>
      </c>
      <c r="H102">
        <v>18</v>
      </c>
      <c r="I102">
        <v>0.5</v>
      </c>
      <c r="J102">
        <v>200</v>
      </c>
      <c r="K102">
        <v>8</v>
      </c>
      <c r="L102" t="s">
        <v>127</v>
      </c>
      <c r="P102">
        <f>(1/E102)*D102</f>
        <v>150</v>
      </c>
    </row>
    <row r="104" spans="1:16" x14ac:dyDescent="0.4">
      <c r="A104">
        <v>2</v>
      </c>
      <c r="B104" t="s">
        <v>512</v>
      </c>
      <c r="C104" t="s">
        <v>143</v>
      </c>
      <c r="D104">
        <v>120</v>
      </c>
      <c r="E104">
        <v>0.5</v>
      </c>
      <c r="F104">
        <v>1</v>
      </c>
      <c r="G104">
        <v>28</v>
      </c>
      <c r="H104">
        <v>6</v>
      </c>
      <c r="I104">
        <v>3</v>
      </c>
      <c r="J104">
        <v>5</v>
      </c>
      <c r="K104">
        <v>3</v>
      </c>
      <c r="L104" t="s">
        <v>145</v>
      </c>
      <c r="P104">
        <f>(1/E104)*D104</f>
        <v>240</v>
      </c>
    </row>
    <row r="105" spans="1:16" x14ac:dyDescent="0.4">
      <c r="A105">
        <v>2</v>
      </c>
      <c r="B105" t="s">
        <v>512</v>
      </c>
      <c r="C105" t="s">
        <v>142</v>
      </c>
      <c r="D105">
        <v>120</v>
      </c>
      <c r="E105">
        <v>0.8</v>
      </c>
      <c r="F105">
        <v>1</v>
      </c>
      <c r="G105">
        <v>28</v>
      </c>
      <c r="H105">
        <v>18</v>
      </c>
      <c r="I105">
        <v>0.5</v>
      </c>
      <c r="J105">
        <v>200</v>
      </c>
      <c r="K105">
        <v>8</v>
      </c>
      <c r="L105" t="s">
        <v>127</v>
      </c>
      <c r="P105">
        <f>(1/E105)*D105</f>
        <v>150</v>
      </c>
    </row>
    <row r="107" spans="1:16" x14ac:dyDescent="0.4">
      <c r="A107">
        <v>3</v>
      </c>
      <c r="B107" t="s">
        <v>512</v>
      </c>
      <c r="C107" t="s">
        <v>143</v>
      </c>
      <c r="D107">
        <v>120</v>
      </c>
      <c r="E107">
        <v>0.5</v>
      </c>
      <c r="F107">
        <v>2</v>
      </c>
      <c r="G107">
        <v>28</v>
      </c>
      <c r="H107">
        <v>6</v>
      </c>
      <c r="I107">
        <v>3</v>
      </c>
      <c r="J107">
        <v>5</v>
      </c>
      <c r="K107">
        <v>3</v>
      </c>
      <c r="L107" t="s">
        <v>145</v>
      </c>
      <c r="P107">
        <f>(1/E107)*D107</f>
        <v>240</v>
      </c>
    </row>
    <row r="108" spans="1:16" x14ac:dyDescent="0.4">
      <c r="A108">
        <v>3</v>
      </c>
      <c r="B108" t="s">
        <v>512</v>
      </c>
      <c r="C108" t="s">
        <v>142</v>
      </c>
      <c r="D108">
        <v>120</v>
      </c>
      <c r="E108">
        <v>0.8</v>
      </c>
      <c r="F108">
        <v>1</v>
      </c>
      <c r="G108">
        <v>28</v>
      </c>
      <c r="H108">
        <v>18</v>
      </c>
      <c r="I108">
        <v>0.5</v>
      </c>
      <c r="J108">
        <v>200</v>
      </c>
      <c r="K108">
        <v>8</v>
      </c>
      <c r="L108" t="s">
        <v>127</v>
      </c>
      <c r="P108">
        <f>(1/E108)*D108</f>
        <v>150</v>
      </c>
    </row>
    <row r="110" spans="1:16" x14ac:dyDescent="0.4">
      <c r="A110">
        <v>4</v>
      </c>
      <c r="B110" t="s">
        <v>512</v>
      </c>
      <c r="C110" t="s">
        <v>143</v>
      </c>
      <c r="D110">
        <v>120</v>
      </c>
      <c r="E110">
        <v>0.5</v>
      </c>
      <c r="F110">
        <v>2</v>
      </c>
      <c r="G110">
        <v>28</v>
      </c>
      <c r="H110">
        <v>6</v>
      </c>
      <c r="I110">
        <v>3</v>
      </c>
      <c r="J110">
        <v>5</v>
      </c>
      <c r="K110">
        <v>3</v>
      </c>
      <c r="L110" t="s">
        <v>145</v>
      </c>
      <c r="P110">
        <f>(1/E110)*D110</f>
        <v>240</v>
      </c>
    </row>
    <row r="111" spans="1:16" x14ac:dyDescent="0.4">
      <c r="A111">
        <v>4</v>
      </c>
      <c r="B111" t="s">
        <v>512</v>
      </c>
      <c r="C111" t="s">
        <v>142</v>
      </c>
      <c r="D111">
        <v>120</v>
      </c>
      <c r="E111">
        <v>0.8</v>
      </c>
      <c r="F111">
        <v>1</v>
      </c>
      <c r="G111">
        <v>28</v>
      </c>
      <c r="H111">
        <v>18</v>
      </c>
      <c r="I111">
        <v>0.5</v>
      </c>
      <c r="J111">
        <v>200</v>
      </c>
      <c r="K111">
        <v>8</v>
      </c>
      <c r="L111" t="s">
        <v>127</v>
      </c>
      <c r="P111">
        <f>(1/E111)*D111</f>
        <v>150</v>
      </c>
    </row>
    <row r="113" spans="1:16" x14ac:dyDescent="0.4">
      <c r="A113">
        <v>5</v>
      </c>
      <c r="B113" t="s">
        <v>512</v>
      </c>
      <c r="C113" t="s">
        <v>143</v>
      </c>
      <c r="D113">
        <v>120</v>
      </c>
      <c r="E113">
        <v>0.5</v>
      </c>
      <c r="F113">
        <v>3</v>
      </c>
      <c r="G113">
        <v>28</v>
      </c>
      <c r="H113">
        <v>6</v>
      </c>
      <c r="I113">
        <v>3</v>
      </c>
      <c r="J113">
        <v>5</v>
      </c>
      <c r="K113">
        <v>3</v>
      </c>
      <c r="L113" t="s">
        <v>145</v>
      </c>
      <c r="P113">
        <f>(1/E113)*D113</f>
        <v>240</v>
      </c>
    </row>
    <row r="114" spans="1:16" x14ac:dyDescent="0.4">
      <c r="A114">
        <v>5</v>
      </c>
      <c r="B114" t="s">
        <v>512</v>
      </c>
      <c r="C114" t="s">
        <v>142</v>
      </c>
      <c r="D114">
        <v>120</v>
      </c>
      <c r="E114">
        <v>0.8</v>
      </c>
      <c r="F114">
        <v>1</v>
      </c>
      <c r="G114">
        <v>28</v>
      </c>
      <c r="H114">
        <v>18</v>
      </c>
      <c r="I114">
        <v>0.5</v>
      </c>
      <c r="J114">
        <v>200</v>
      </c>
      <c r="K114">
        <v>8</v>
      </c>
      <c r="L114" t="s">
        <v>127</v>
      </c>
      <c r="P114">
        <f>(1/E114)*D114</f>
        <v>150</v>
      </c>
    </row>
    <row r="116" spans="1:16" x14ac:dyDescent="0.4">
      <c r="A116">
        <v>6</v>
      </c>
      <c r="B116" t="s">
        <v>512</v>
      </c>
      <c r="C116" t="s">
        <v>143</v>
      </c>
      <c r="D116">
        <v>120</v>
      </c>
      <c r="E116">
        <v>0.5</v>
      </c>
      <c r="F116">
        <v>3</v>
      </c>
      <c r="G116">
        <v>28</v>
      </c>
      <c r="H116">
        <v>6</v>
      </c>
      <c r="I116">
        <v>3</v>
      </c>
      <c r="J116">
        <v>5</v>
      </c>
      <c r="K116">
        <v>3</v>
      </c>
      <c r="L116" t="s">
        <v>145</v>
      </c>
      <c r="P116">
        <f>(1/E116)*D116</f>
        <v>240</v>
      </c>
    </row>
    <row r="117" spans="1:16" x14ac:dyDescent="0.4">
      <c r="A117">
        <v>6</v>
      </c>
      <c r="B117" t="s">
        <v>512</v>
      </c>
      <c r="C117" t="s">
        <v>142</v>
      </c>
      <c r="D117">
        <v>120</v>
      </c>
      <c r="E117">
        <v>0.8</v>
      </c>
      <c r="F117">
        <v>1</v>
      </c>
      <c r="G117">
        <v>28</v>
      </c>
      <c r="H117">
        <v>18</v>
      </c>
      <c r="I117">
        <v>0.5</v>
      </c>
      <c r="J117">
        <v>200</v>
      </c>
      <c r="K117">
        <v>8</v>
      </c>
      <c r="L117" t="s">
        <v>127</v>
      </c>
      <c r="P117">
        <f>(1/E117)*D117</f>
        <v>150</v>
      </c>
    </row>
    <row r="119" spans="1:16" x14ac:dyDescent="0.4">
      <c r="A119">
        <v>7</v>
      </c>
      <c r="B119" t="s">
        <v>512</v>
      </c>
      <c r="C119" t="s">
        <v>143</v>
      </c>
      <c r="D119">
        <v>120</v>
      </c>
      <c r="E119">
        <v>0.5</v>
      </c>
      <c r="F119">
        <v>4</v>
      </c>
      <c r="G119">
        <v>28</v>
      </c>
      <c r="H119">
        <v>6</v>
      </c>
      <c r="I119">
        <v>3</v>
      </c>
      <c r="J119">
        <v>5</v>
      </c>
      <c r="K119">
        <v>3</v>
      </c>
      <c r="L119" t="s">
        <v>145</v>
      </c>
      <c r="P119">
        <f>(1/E119)*D119</f>
        <v>240</v>
      </c>
    </row>
    <row r="120" spans="1:16" x14ac:dyDescent="0.4">
      <c r="A120">
        <v>7</v>
      </c>
      <c r="B120" t="s">
        <v>512</v>
      </c>
      <c r="C120" t="s">
        <v>142</v>
      </c>
      <c r="D120">
        <v>120</v>
      </c>
      <c r="E120">
        <v>0.8</v>
      </c>
      <c r="F120">
        <v>1</v>
      </c>
      <c r="G120">
        <v>28</v>
      </c>
      <c r="H120">
        <v>18</v>
      </c>
      <c r="I120">
        <v>0.5</v>
      </c>
      <c r="J120">
        <v>200</v>
      </c>
      <c r="K120">
        <v>8</v>
      </c>
      <c r="L120" t="s">
        <v>127</v>
      </c>
      <c r="P120">
        <f>(1/E120)*D120</f>
        <v>150</v>
      </c>
    </row>
  </sheetData>
  <phoneticPr fontId="1"/>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32B2B-0112-4B54-A53E-75E91E4C41B1}">
  <dimension ref="A1:AA96"/>
  <sheetViews>
    <sheetView topLeftCell="A21" workbookViewId="0">
      <selection activeCell="N15" sqref="N15"/>
    </sheetView>
  </sheetViews>
  <sheetFormatPr defaultRowHeight="18.75" x14ac:dyDescent="0.4"/>
  <sheetData>
    <row r="1" spans="1:27" x14ac:dyDescent="0.4">
      <c r="A1" t="s">
        <v>433</v>
      </c>
      <c r="H1" t="s">
        <v>495</v>
      </c>
      <c r="I1" t="s">
        <v>493</v>
      </c>
      <c r="J1" t="s">
        <v>494</v>
      </c>
    </row>
    <row r="2" spans="1:27" x14ac:dyDescent="0.4">
      <c r="A2" t="s">
        <v>1</v>
      </c>
      <c r="B2">
        <v>1100</v>
      </c>
      <c r="C2" t="s">
        <v>2</v>
      </c>
      <c r="H2" t="s">
        <v>488</v>
      </c>
      <c r="I2">
        <v>125</v>
      </c>
      <c r="J2">
        <v>125</v>
      </c>
      <c r="Z2" s="9"/>
      <c r="AA2" s="9"/>
    </row>
    <row r="3" spans="1:27" x14ac:dyDescent="0.4">
      <c r="A3" t="s">
        <v>3</v>
      </c>
      <c r="B3">
        <v>1100</v>
      </c>
      <c r="C3" t="s">
        <v>2</v>
      </c>
      <c r="H3" t="s">
        <v>490</v>
      </c>
      <c r="I3">
        <v>75</v>
      </c>
      <c r="J3">
        <v>75</v>
      </c>
      <c r="Z3" s="9"/>
      <c r="AA3" s="9"/>
    </row>
    <row r="4" spans="1:27" x14ac:dyDescent="0.4">
      <c r="A4" t="s">
        <v>4</v>
      </c>
      <c r="B4">
        <v>100</v>
      </c>
      <c r="C4" t="s">
        <v>2</v>
      </c>
      <c r="H4" t="s">
        <v>491</v>
      </c>
      <c r="I4">
        <v>75</v>
      </c>
      <c r="J4">
        <v>75</v>
      </c>
      <c r="Z4" s="9"/>
      <c r="AA4" s="9"/>
    </row>
    <row r="5" spans="1:27" x14ac:dyDescent="0.4">
      <c r="A5" t="s">
        <v>169</v>
      </c>
      <c r="B5">
        <v>70</v>
      </c>
      <c r="D5" t="s">
        <v>174</v>
      </c>
      <c r="E5" t="s">
        <v>497</v>
      </c>
      <c r="H5" t="s">
        <v>492</v>
      </c>
      <c r="I5">
        <v>100</v>
      </c>
      <c r="J5">
        <v>100</v>
      </c>
      <c r="Z5" s="9"/>
      <c r="AA5" s="9"/>
    </row>
    <row r="6" spans="1:27" x14ac:dyDescent="0.4">
      <c r="H6" t="s">
        <v>489</v>
      </c>
      <c r="I6">
        <v>100</v>
      </c>
      <c r="J6">
        <v>100</v>
      </c>
      <c r="Z6" s="9"/>
      <c r="AA6" s="9"/>
    </row>
    <row r="7" spans="1:27" x14ac:dyDescent="0.4">
      <c r="A7" t="s">
        <v>498</v>
      </c>
      <c r="Z7" s="9"/>
      <c r="AA7" s="9"/>
    </row>
    <row r="8" spans="1:27" x14ac:dyDescent="0.4">
      <c r="A8" t="s">
        <v>499</v>
      </c>
      <c r="Z8" s="9"/>
      <c r="AA8" s="9"/>
    </row>
    <row r="9" spans="1:27" x14ac:dyDescent="0.4">
      <c r="A9" t="s">
        <v>500</v>
      </c>
      <c r="Z9" s="9"/>
      <c r="AA9" s="9"/>
    </row>
    <row r="10" spans="1:27" x14ac:dyDescent="0.4">
      <c r="Z10" s="9"/>
      <c r="AA10" s="9"/>
    </row>
    <row r="11" spans="1:27" x14ac:dyDescent="0.4">
      <c r="Z11" s="9"/>
      <c r="AA11" s="9"/>
    </row>
    <row r="12" spans="1:27" x14ac:dyDescent="0.4">
      <c r="A12" t="s">
        <v>5</v>
      </c>
      <c r="B12">
        <v>2</v>
      </c>
      <c r="Z12" s="9"/>
      <c r="AA12" s="9"/>
    </row>
    <row r="13" spans="1:27" x14ac:dyDescent="0.4">
      <c r="A13" t="s">
        <v>6</v>
      </c>
      <c r="B13">
        <v>15</v>
      </c>
      <c r="C13" t="s">
        <v>432</v>
      </c>
      <c r="Z13" s="9"/>
      <c r="AA13" s="9"/>
    </row>
    <row r="14" spans="1:27" x14ac:dyDescent="0.4">
      <c r="A14" t="s">
        <v>8</v>
      </c>
      <c r="B14" t="s">
        <v>531</v>
      </c>
      <c r="D14" t="s">
        <v>331</v>
      </c>
      <c r="E14" t="s">
        <v>534</v>
      </c>
      <c r="G14" t="s">
        <v>348</v>
      </c>
      <c r="H14" t="s">
        <v>537</v>
      </c>
      <c r="J14" t="s">
        <v>351</v>
      </c>
      <c r="K14" t="s">
        <v>538</v>
      </c>
      <c r="Z14" s="9"/>
      <c r="AA14" s="9"/>
    </row>
    <row r="15" spans="1:27" x14ac:dyDescent="0.4">
      <c r="A15" t="s">
        <v>10</v>
      </c>
      <c r="B15" t="s">
        <v>532</v>
      </c>
      <c r="D15" t="s">
        <v>535</v>
      </c>
      <c r="Z15" s="9"/>
      <c r="AA15" s="9"/>
    </row>
    <row r="16" spans="1:27" x14ac:dyDescent="0.4">
      <c r="A16" t="s">
        <v>12</v>
      </c>
      <c r="B16" t="s">
        <v>533</v>
      </c>
      <c r="D16" t="s">
        <v>536</v>
      </c>
    </row>
    <row r="18" spans="1:12" x14ac:dyDescent="0.4">
      <c r="B18" t="s">
        <v>131</v>
      </c>
    </row>
    <row r="19" spans="1:12" x14ac:dyDescent="0.4">
      <c r="B19" t="s">
        <v>130</v>
      </c>
    </row>
    <row r="20" spans="1:12" x14ac:dyDescent="0.4">
      <c r="B20" t="s">
        <v>132</v>
      </c>
    </row>
    <row r="22" spans="1:12" x14ac:dyDescent="0.4">
      <c r="A22" t="s">
        <v>14</v>
      </c>
      <c r="B22" t="s">
        <v>15</v>
      </c>
      <c r="D22" t="s">
        <v>16</v>
      </c>
      <c r="E22" t="s">
        <v>17</v>
      </c>
      <c r="F22" t="s">
        <v>18</v>
      </c>
      <c r="G22" t="s">
        <v>19</v>
      </c>
      <c r="H22" t="s">
        <v>20</v>
      </c>
      <c r="I22" t="s">
        <v>21</v>
      </c>
      <c r="J22" t="s">
        <v>479</v>
      </c>
    </row>
    <row r="23" spans="1:12" x14ac:dyDescent="0.4">
      <c r="A23">
        <v>1</v>
      </c>
      <c r="B23" t="s">
        <v>22</v>
      </c>
      <c r="C23" t="s">
        <v>478</v>
      </c>
      <c r="D23">
        <v>50</v>
      </c>
      <c r="E23">
        <v>0.5</v>
      </c>
      <c r="F23">
        <v>1</v>
      </c>
      <c r="G23">
        <v>20</v>
      </c>
      <c r="H23">
        <v>10</v>
      </c>
      <c r="I23">
        <v>20</v>
      </c>
      <c r="J23">
        <v>5</v>
      </c>
      <c r="K23" t="s">
        <v>482</v>
      </c>
    </row>
    <row r="24" spans="1:12" x14ac:dyDescent="0.4">
      <c r="A24">
        <v>1</v>
      </c>
      <c r="B24" t="s">
        <v>22</v>
      </c>
      <c r="C24" t="s">
        <v>17</v>
      </c>
      <c r="D24">
        <v>0</v>
      </c>
      <c r="E24">
        <v>0.5</v>
      </c>
      <c r="F24">
        <v>1</v>
      </c>
      <c r="G24">
        <v>0</v>
      </c>
      <c r="H24">
        <v>0</v>
      </c>
      <c r="I24">
        <v>0</v>
      </c>
      <c r="J24">
        <v>0</v>
      </c>
    </row>
    <row r="28" spans="1:12" x14ac:dyDescent="0.4">
      <c r="A28" t="s">
        <v>14</v>
      </c>
      <c r="B28" t="s">
        <v>15</v>
      </c>
      <c r="D28" t="s">
        <v>16</v>
      </c>
      <c r="E28" t="s">
        <v>17</v>
      </c>
      <c r="F28" t="s">
        <v>18</v>
      </c>
      <c r="G28" t="s">
        <v>19</v>
      </c>
      <c r="H28" t="s">
        <v>20</v>
      </c>
      <c r="I28" t="s">
        <v>170</v>
      </c>
      <c r="J28" t="s">
        <v>21</v>
      </c>
      <c r="K28" t="s">
        <v>179</v>
      </c>
    </row>
    <row r="30" spans="1:12" x14ac:dyDescent="0.4">
      <c r="A30">
        <v>1</v>
      </c>
      <c r="B30" t="s">
        <v>25</v>
      </c>
      <c r="C30" t="s">
        <v>363</v>
      </c>
      <c r="D30">
        <v>60</v>
      </c>
      <c r="E30">
        <v>0.4</v>
      </c>
      <c r="F30">
        <v>1</v>
      </c>
      <c r="G30">
        <v>30</v>
      </c>
      <c r="H30">
        <v>2</v>
      </c>
      <c r="I30">
        <v>1</v>
      </c>
      <c r="J30">
        <v>40</v>
      </c>
      <c r="K30">
        <v>1</v>
      </c>
      <c r="L30" t="s">
        <v>28</v>
      </c>
    </row>
    <row r="35" spans="1:11" x14ac:dyDescent="0.4">
      <c r="B35" t="s">
        <v>522</v>
      </c>
    </row>
    <row r="37" spans="1:11" x14ac:dyDescent="0.4">
      <c r="A37" t="s">
        <v>14</v>
      </c>
      <c r="B37" t="s">
        <v>15</v>
      </c>
      <c r="D37" t="s">
        <v>16</v>
      </c>
      <c r="E37" t="s">
        <v>17</v>
      </c>
      <c r="F37" t="s">
        <v>18</v>
      </c>
      <c r="G37" t="s">
        <v>19</v>
      </c>
      <c r="H37" t="s">
        <v>20</v>
      </c>
      <c r="I37" t="s">
        <v>21</v>
      </c>
      <c r="J37" t="s">
        <v>340</v>
      </c>
    </row>
    <row r="38" spans="1:11" x14ac:dyDescent="0.4">
      <c r="A38">
        <v>1</v>
      </c>
      <c r="B38" t="s">
        <v>22</v>
      </c>
      <c r="C38" t="s">
        <v>519</v>
      </c>
      <c r="D38">
        <v>50</v>
      </c>
      <c r="E38">
        <v>0.5</v>
      </c>
      <c r="F38">
        <v>1</v>
      </c>
      <c r="G38">
        <v>30</v>
      </c>
      <c r="H38">
        <v>18</v>
      </c>
      <c r="I38">
        <v>20</v>
      </c>
      <c r="J38">
        <v>5</v>
      </c>
      <c r="K38" t="s">
        <v>520</v>
      </c>
    </row>
    <row r="39" spans="1:11" x14ac:dyDescent="0.4">
      <c r="A39">
        <v>1</v>
      </c>
      <c r="B39" t="s">
        <v>22</v>
      </c>
      <c r="C39" t="s">
        <v>17</v>
      </c>
      <c r="D39">
        <v>0</v>
      </c>
      <c r="E39">
        <v>0.5</v>
      </c>
      <c r="F39">
        <v>1</v>
      </c>
      <c r="G39">
        <v>0</v>
      </c>
      <c r="H39">
        <v>0</v>
      </c>
      <c r="I39">
        <v>0</v>
      </c>
      <c r="J39">
        <v>0</v>
      </c>
    </row>
    <row r="41" spans="1:11" x14ac:dyDescent="0.4">
      <c r="A41">
        <v>2</v>
      </c>
      <c r="B41" t="s">
        <v>22</v>
      </c>
      <c r="C41" t="s">
        <v>519</v>
      </c>
      <c r="D41">
        <v>50</v>
      </c>
      <c r="E41">
        <v>0.5</v>
      </c>
      <c r="F41">
        <v>1</v>
      </c>
      <c r="G41">
        <v>30</v>
      </c>
      <c r="H41">
        <v>18</v>
      </c>
      <c r="I41">
        <v>20</v>
      </c>
      <c r="J41">
        <v>5</v>
      </c>
      <c r="K41" t="s">
        <v>520</v>
      </c>
    </row>
    <row r="42" spans="1:11" x14ac:dyDescent="0.4">
      <c r="A42">
        <v>2</v>
      </c>
      <c r="B42" t="s">
        <v>22</v>
      </c>
      <c r="C42" t="s">
        <v>17</v>
      </c>
      <c r="D42">
        <v>0</v>
      </c>
      <c r="E42">
        <v>0.5</v>
      </c>
      <c r="F42">
        <v>1</v>
      </c>
      <c r="G42">
        <v>0</v>
      </c>
      <c r="H42">
        <v>0</v>
      </c>
      <c r="I42">
        <v>0</v>
      </c>
      <c r="J42">
        <v>0</v>
      </c>
    </row>
    <row r="44" spans="1:11" x14ac:dyDescent="0.4">
      <c r="A44">
        <v>3</v>
      </c>
      <c r="B44" t="s">
        <v>22</v>
      </c>
      <c r="C44" t="s">
        <v>519</v>
      </c>
      <c r="D44">
        <v>50</v>
      </c>
      <c r="E44">
        <v>0.5</v>
      </c>
      <c r="F44">
        <v>2</v>
      </c>
      <c r="G44">
        <v>30</v>
      </c>
      <c r="H44">
        <v>18</v>
      </c>
      <c r="I44">
        <v>20</v>
      </c>
      <c r="J44">
        <v>5</v>
      </c>
      <c r="K44" t="s">
        <v>520</v>
      </c>
    </row>
    <row r="45" spans="1:11" x14ac:dyDescent="0.4">
      <c r="A45">
        <v>3</v>
      </c>
      <c r="B45" t="s">
        <v>22</v>
      </c>
      <c r="C45" t="s">
        <v>17</v>
      </c>
      <c r="D45">
        <v>0</v>
      </c>
      <c r="E45">
        <v>0.5</v>
      </c>
      <c r="F45">
        <v>1</v>
      </c>
      <c r="G45">
        <v>0</v>
      </c>
      <c r="H45">
        <v>0</v>
      </c>
      <c r="I45">
        <v>0</v>
      </c>
      <c r="J45">
        <v>0</v>
      </c>
    </row>
    <row r="47" spans="1:11" x14ac:dyDescent="0.4">
      <c r="A47">
        <v>4</v>
      </c>
      <c r="B47" t="s">
        <v>22</v>
      </c>
      <c r="C47" t="s">
        <v>519</v>
      </c>
      <c r="D47">
        <v>50</v>
      </c>
      <c r="E47">
        <v>0.5</v>
      </c>
      <c r="F47">
        <v>2</v>
      </c>
      <c r="G47">
        <v>30</v>
      </c>
      <c r="H47">
        <v>18</v>
      </c>
      <c r="I47">
        <v>20</v>
      </c>
      <c r="J47">
        <v>5</v>
      </c>
      <c r="K47" t="s">
        <v>520</v>
      </c>
    </row>
    <row r="48" spans="1:11" x14ac:dyDescent="0.4">
      <c r="A48">
        <v>4</v>
      </c>
      <c r="B48" t="s">
        <v>22</v>
      </c>
      <c r="C48" t="s">
        <v>17</v>
      </c>
      <c r="D48">
        <v>0</v>
      </c>
      <c r="E48">
        <v>0.5</v>
      </c>
      <c r="F48">
        <v>1</v>
      </c>
      <c r="G48">
        <v>0</v>
      </c>
      <c r="H48">
        <v>0</v>
      </c>
      <c r="I48">
        <v>0</v>
      </c>
      <c r="J48">
        <v>0</v>
      </c>
    </row>
    <row r="50" spans="1:11" x14ac:dyDescent="0.4">
      <c r="A50">
        <v>5</v>
      </c>
      <c r="B50" t="s">
        <v>22</v>
      </c>
      <c r="C50" t="s">
        <v>519</v>
      </c>
      <c r="D50">
        <v>50</v>
      </c>
      <c r="E50">
        <v>0.5</v>
      </c>
      <c r="F50">
        <v>3</v>
      </c>
      <c r="G50">
        <v>30</v>
      </c>
      <c r="H50">
        <v>18</v>
      </c>
      <c r="I50">
        <v>20</v>
      </c>
      <c r="J50">
        <v>5</v>
      </c>
      <c r="K50" t="s">
        <v>520</v>
      </c>
    </row>
    <row r="51" spans="1:11" x14ac:dyDescent="0.4">
      <c r="A51">
        <v>5</v>
      </c>
      <c r="B51" t="s">
        <v>22</v>
      </c>
      <c r="C51" t="s">
        <v>17</v>
      </c>
      <c r="D51">
        <v>0</v>
      </c>
      <c r="E51">
        <v>0.5</v>
      </c>
      <c r="F51">
        <v>1</v>
      </c>
      <c r="G51">
        <v>0</v>
      </c>
      <c r="H51">
        <v>0</v>
      </c>
      <c r="I51">
        <v>0</v>
      </c>
      <c r="J51">
        <v>0</v>
      </c>
    </row>
    <row r="53" spans="1:11" x14ac:dyDescent="0.4">
      <c r="A53">
        <v>6</v>
      </c>
      <c r="B53" t="s">
        <v>22</v>
      </c>
      <c r="C53" t="s">
        <v>519</v>
      </c>
      <c r="D53">
        <v>50</v>
      </c>
      <c r="E53">
        <v>0.5</v>
      </c>
      <c r="F53">
        <v>3</v>
      </c>
      <c r="G53">
        <v>30</v>
      </c>
      <c r="H53">
        <v>18</v>
      </c>
      <c r="I53">
        <v>20</v>
      </c>
      <c r="J53">
        <v>5</v>
      </c>
      <c r="K53" t="s">
        <v>520</v>
      </c>
    </row>
    <row r="54" spans="1:11" x14ac:dyDescent="0.4">
      <c r="A54">
        <v>6</v>
      </c>
      <c r="B54" t="s">
        <v>22</v>
      </c>
      <c r="C54" t="s">
        <v>17</v>
      </c>
      <c r="D54">
        <v>0</v>
      </c>
      <c r="E54">
        <v>0.5</v>
      </c>
      <c r="F54">
        <v>1</v>
      </c>
      <c r="G54">
        <v>0</v>
      </c>
      <c r="H54">
        <v>0</v>
      </c>
      <c r="I54">
        <v>0</v>
      </c>
      <c r="J54">
        <v>0</v>
      </c>
    </row>
    <row r="56" spans="1:11" x14ac:dyDescent="0.4">
      <c r="A56">
        <v>7</v>
      </c>
      <c r="B56" t="s">
        <v>22</v>
      </c>
      <c r="C56" t="s">
        <v>519</v>
      </c>
      <c r="D56">
        <v>50</v>
      </c>
      <c r="E56">
        <v>0.5</v>
      </c>
      <c r="F56">
        <v>4</v>
      </c>
      <c r="G56">
        <v>30</v>
      </c>
      <c r="H56">
        <v>18</v>
      </c>
      <c r="I56">
        <v>20</v>
      </c>
      <c r="J56">
        <v>5</v>
      </c>
      <c r="K56" t="s">
        <v>520</v>
      </c>
    </row>
    <row r="57" spans="1:11" x14ac:dyDescent="0.4">
      <c r="A57">
        <v>7</v>
      </c>
      <c r="B57" t="s">
        <v>22</v>
      </c>
      <c r="C57" t="s">
        <v>17</v>
      </c>
      <c r="D57">
        <v>0</v>
      </c>
      <c r="E57">
        <v>0.5</v>
      </c>
      <c r="F57">
        <v>1</v>
      </c>
      <c r="G57">
        <v>0</v>
      </c>
      <c r="H57">
        <v>0</v>
      </c>
      <c r="I57">
        <v>0</v>
      </c>
      <c r="J57">
        <v>0</v>
      </c>
    </row>
    <row r="59" spans="1:11" x14ac:dyDescent="0.4">
      <c r="A59" t="s">
        <v>14</v>
      </c>
      <c r="B59" t="s">
        <v>15</v>
      </c>
      <c r="D59" t="s">
        <v>16</v>
      </c>
      <c r="E59" t="s">
        <v>17</v>
      </c>
      <c r="F59" t="s">
        <v>18</v>
      </c>
      <c r="G59" t="s">
        <v>19</v>
      </c>
      <c r="H59" t="s">
        <v>20</v>
      </c>
      <c r="I59" t="s">
        <v>170</v>
      </c>
      <c r="J59" t="s">
        <v>21</v>
      </c>
      <c r="K59" t="s">
        <v>179</v>
      </c>
    </row>
    <row r="60" spans="1:11" x14ac:dyDescent="0.4">
      <c r="A60">
        <v>1</v>
      </c>
      <c r="B60" t="s">
        <v>22</v>
      </c>
      <c r="C60" t="s">
        <v>521</v>
      </c>
      <c r="D60">
        <v>10</v>
      </c>
      <c r="E60">
        <v>0.2</v>
      </c>
      <c r="F60">
        <v>4</v>
      </c>
      <c r="G60">
        <v>35</v>
      </c>
      <c r="H60">
        <v>8</v>
      </c>
      <c r="I60">
        <v>0</v>
      </c>
      <c r="J60">
        <v>5</v>
      </c>
      <c r="K60" t="s">
        <v>523</v>
      </c>
    </row>
    <row r="61" spans="1:11" x14ac:dyDescent="0.4">
      <c r="A61">
        <v>1</v>
      </c>
      <c r="B61" t="s">
        <v>22</v>
      </c>
      <c r="C61" t="s">
        <v>17</v>
      </c>
      <c r="D61">
        <v>0</v>
      </c>
      <c r="E61">
        <v>0.5</v>
      </c>
      <c r="F61">
        <v>1</v>
      </c>
      <c r="G61">
        <v>0</v>
      </c>
      <c r="H61">
        <v>0</v>
      </c>
      <c r="I61">
        <v>0</v>
      </c>
      <c r="J61">
        <v>0</v>
      </c>
    </row>
    <row r="63" spans="1:11" x14ac:dyDescent="0.4">
      <c r="A63">
        <v>2</v>
      </c>
      <c r="B63" t="s">
        <v>22</v>
      </c>
      <c r="C63" t="s">
        <v>521</v>
      </c>
      <c r="D63">
        <v>10</v>
      </c>
      <c r="E63">
        <v>0.2</v>
      </c>
      <c r="F63">
        <v>4</v>
      </c>
      <c r="G63">
        <v>35</v>
      </c>
      <c r="H63">
        <v>8</v>
      </c>
      <c r="I63">
        <v>0</v>
      </c>
      <c r="J63">
        <v>5</v>
      </c>
      <c r="K63" t="s">
        <v>523</v>
      </c>
    </row>
    <row r="64" spans="1:11" x14ac:dyDescent="0.4">
      <c r="A64">
        <v>2</v>
      </c>
      <c r="B64" t="s">
        <v>22</v>
      </c>
      <c r="C64" t="s">
        <v>17</v>
      </c>
      <c r="D64">
        <v>0</v>
      </c>
      <c r="E64">
        <v>0.5</v>
      </c>
      <c r="F64">
        <v>1</v>
      </c>
      <c r="G64">
        <v>0</v>
      </c>
      <c r="H64">
        <v>0</v>
      </c>
      <c r="I64">
        <v>0</v>
      </c>
      <c r="J64">
        <v>0</v>
      </c>
    </row>
    <row r="66" spans="1:11" x14ac:dyDescent="0.4">
      <c r="A66">
        <v>3</v>
      </c>
      <c r="B66" t="s">
        <v>22</v>
      </c>
      <c r="C66" t="s">
        <v>521</v>
      </c>
      <c r="D66">
        <v>10</v>
      </c>
      <c r="E66">
        <v>0.2</v>
      </c>
      <c r="F66">
        <v>5</v>
      </c>
      <c r="G66">
        <v>35</v>
      </c>
      <c r="H66">
        <v>8</v>
      </c>
      <c r="I66">
        <v>0</v>
      </c>
      <c r="J66">
        <v>5</v>
      </c>
      <c r="K66" t="s">
        <v>523</v>
      </c>
    </row>
    <row r="67" spans="1:11" x14ac:dyDescent="0.4">
      <c r="A67">
        <v>3</v>
      </c>
      <c r="B67" t="s">
        <v>22</v>
      </c>
      <c r="C67" t="s">
        <v>17</v>
      </c>
      <c r="D67">
        <v>0</v>
      </c>
      <c r="E67">
        <v>0.5</v>
      </c>
      <c r="F67">
        <v>1</v>
      </c>
      <c r="G67">
        <v>0</v>
      </c>
      <c r="H67">
        <v>0</v>
      </c>
      <c r="I67">
        <v>0</v>
      </c>
      <c r="J67">
        <v>0</v>
      </c>
    </row>
    <row r="69" spans="1:11" x14ac:dyDescent="0.4">
      <c r="A69">
        <v>4</v>
      </c>
      <c r="B69" t="s">
        <v>22</v>
      </c>
      <c r="C69" t="s">
        <v>521</v>
      </c>
      <c r="D69">
        <v>10</v>
      </c>
      <c r="E69">
        <v>0.2</v>
      </c>
      <c r="F69">
        <v>5</v>
      </c>
      <c r="G69">
        <v>35</v>
      </c>
      <c r="H69">
        <v>8</v>
      </c>
      <c r="I69">
        <v>0</v>
      </c>
      <c r="J69">
        <v>5</v>
      </c>
      <c r="K69" t="s">
        <v>523</v>
      </c>
    </row>
    <row r="70" spans="1:11" x14ac:dyDescent="0.4">
      <c r="A70">
        <v>4</v>
      </c>
      <c r="B70" t="s">
        <v>22</v>
      </c>
      <c r="C70" t="s">
        <v>17</v>
      </c>
      <c r="D70">
        <v>0</v>
      </c>
      <c r="E70">
        <v>0.5</v>
      </c>
      <c r="F70">
        <v>1</v>
      </c>
      <c r="G70">
        <v>0</v>
      </c>
      <c r="H70">
        <v>0</v>
      </c>
      <c r="I70">
        <v>0</v>
      </c>
      <c r="J70">
        <v>0</v>
      </c>
    </row>
    <row r="72" spans="1:11" x14ac:dyDescent="0.4">
      <c r="A72">
        <v>5</v>
      </c>
      <c r="B72" t="s">
        <v>22</v>
      </c>
      <c r="C72" t="s">
        <v>521</v>
      </c>
      <c r="D72">
        <v>10</v>
      </c>
      <c r="E72">
        <v>0.2</v>
      </c>
      <c r="F72">
        <v>6</v>
      </c>
      <c r="G72">
        <v>35</v>
      </c>
      <c r="H72">
        <v>8</v>
      </c>
      <c r="I72">
        <v>0</v>
      </c>
      <c r="J72">
        <v>5</v>
      </c>
      <c r="K72" t="s">
        <v>523</v>
      </c>
    </row>
    <row r="73" spans="1:11" x14ac:dyDescent="0.4">
      <c r="A73">
        <v>5</v>
      </c>
      <c r="B73" t="s">
        <v>22</v>
      </c>
      <c r="C73" t="s">
        <v>17</v>
      </c>
      <c r="D73">
        <v>0</v>
      </c>
      <c r="E73">
        <v>0.5</v>
      </c>
      <c r="F73">
        <v>1</v>
      </c>
      <c r="G73">
        <v>0</v>
      </c>
      <c r="H73">
        <v>0</v>
      </c>
      <c r="I73">
        <v>0</v>
      </c>
      <c r="J73">
        <v>0</v>
      </c>
    </row>
    <row r="75" spans="1:11" x14ac:dyDescent="0.4">
      <c r="A75">
        <v>6</v>
      </c>
      <c r="B75" t="s">
        <v>22</v>
      </c>
      <c r="C75" t="s">
        <v>521</v>
      </c>
      <c r="D75">
        <v>10</v>
      </c>
      <c r="E75">
        <v>0.2</v>
      </c>
      <c r="F75">
        <v>6</v>
      </c>
      <c r="G75">
        <v>35</v>
      </c>
      <c r="H75">
        <v>8</v>
      </c>
      <c r="I75">
        <v>0</v>
      </c>
      <c r="J75">
        <v>5</v>
      </c>
      <c r="K75" t="s">
        <v>523</v>
      </c>
    </row>
    <row r="76" spans="1:11" x14ac:dyDescent="0.4">
      <c r="A76">
        <v>6</v>
      </c>
      <c r="B76" t="s">
        <v>22</v>
      </c>
      <c r="C76" t="s">
        <v>17</v>
      </c>
      <c r="D76">
        <v>0</v>
      </c>
      <c r="E76">
        <v>0.5</v>
      </c>
      <c r="F76">
        <v>1</v>
      </c>
      <c r="G76">
        <v>0</v>
      </c>
      <c r="H76">
        <v>0</v>
      </c>
      <c r="I76">
        <v>0</v>
      </c>
      <c r="J76">
        <v>0</v>
      </c>
    </row>
    <row r="78" spans="1:11" x14ac:dyDescent="0.4">
      <c r="A78">
        <v>7</v>
      </c>
      <c r="B78" t="s">
        <v>22</v>
      </c>
      <c r="C78" t="s">
        <v>521</v>
      </c>
      <c r="D78">
        <v>10</v>
      </c>
      <c r="E78">
        <v>0.2</v>
      </c>
      <c r="F78">
        <v>7</v>
      </c>
      <c r="G78">
        <v>35</v>
      </c>
      <c r="H78">
        <v>8</v>
      </c>
      <c r="I78">
        <v>0</v>
      </c>
      <c r="J78">
        <v>5</v>
      </c>
      <c r="K78" t="s">
        <v>523</v>
      </c>
    </row>
    <row r="79" spans="1:11" x14ac:dyDescent="0.4">
      <c r="A79">
        <v>7</v>
      </c>
      <c r="B79" t="s">
        <v>22</v>
      </c>
      <c r="C79" t="s">
        <v>17</v>
      </c>
      <c r="D79">
        <v>0</v>
      </c>
      <c r="E79">
        <v>0.5</v>
      </c>
      <c r="F79">
        <v>1</v>
      </c>
      <c r="G79">
        <v>0</v>
      </c>
      <c r="H79">
        <v>0</v>
      </c>
      <c r="I79">
        <v>0</v>
      </c>
      <c r="J79">
        <v>0</v>
      </c>
    </row>
    <row r="81" spans="1:4" x14ac:dyDescent="0.4">
      <c r="A81" t="s">
        <v>32</v>
      </c>
    </row>
    <row r="82" spans="1:4" x14ac:dyDescent="0.4">
      <c r="A82" t="s">
        <v>33</v>
      </c>
    </row>
    <row r="83" spans="1:4" x14ac:dyDescent="0.4">
      <c r="A83" t="s">
        <v>524</v>
      </c>
    </row>
    <row r="85" spans="1:4" x14ac:dyDescent="0.4">
      <c r="A85" t="s">
        <v>34</v>
      </c>
    </row>
    <row r="86" spans="1:4" x14ac:dyDescent="0.4">
      <c r="A86" t="s">
        <v>525</v>
      </c>
    </row>
    <row r="89" spans="1:4" x14ac:dyDescent="0.4">
      <c r="A89" t="s">
        <v>35</v>
      </c>
    </row>
    <row r="90" spans="1:4" x14ac:dyDescent="0.4">
      <c r="A90" t="s">
        <v>36</v>
      </c>
    </row>
    <row r="91" spans="1:4" x14ac:dyDescent="0.4">
      <c r="A91" t="s">
        <v>37</v>
      </c>
      <c r="B91" t="s">
        <v>483</v>
      </c>
      <c r="D91" t="s">
        <v>530</v>
      </c>
    </row>
    <row r="92" spans="1:4" x14ac:dyDescent="0.4">
      <c r="A92" t="s">
        <v>526</v>
      </c>
    </row>
    <row r="93" spans="1:4" x14ac:dyDescent="0.4">
      <c r="A93" t="s">
        <v>527</v>
      </c>
    </row>
    <row r="94" spans="1:4" x14ac:dyDescent="0.4">
      <c r="A94" t="s">
        <v>528</v>
      </c>
    </row>
    <row r="95" spans="1:4" x14ac:dyDescent="0.4">
      <c r="A95" t="s">
        <v>529</v>
      </c>
    </row>
    <row r="96" spans="1:4" x14ac:dyDescent="0.4">
      <c r="A96" s="10"/>
    </row>
  </sheetData>
  <phoneticPr fontId="1"/>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B1326-14F1-42B8-9837-AA6E67B64349}">
  <dimension ref="A1:C41"/>
  <sheetViews>
    <sheetView topLeftCell="A21" workbookViewId="0">
      <selection activeCell="H16" sqref="H16"/>
    </sheetView>
  </sheetViews>
  <sheetFormatPr defaultRowHeight="18.75" x14ac:dyDescent="0.4"/>
  <cols>
    <col min="2" max="2" width="15" bestFit="1" customWidth="1"/>
    <col min="13" max="13" width="9.5" bestFit="1" customWidth="1"/>
  </cols>
  <sheetData>
    <row r="1" spans="1:3" x14ac:dyDescent="0.4">
      <c r="A1" t="s">
        <v>539</v>
      </c>
    </row>
    <row r="3" spans="1:3" x14ac:dyDescent="0.4">
      <c r="A3" t="s">
        <v>540</v>
      </c>
    </row>
    <row r="4" spans="1:3" x14ac:dyDescent="0.4">
      <c r="A4" t="s">
        <v>541</v>
      </c>
    </row>
    <row r="5" spans="1:3" x14ac:dyDescent="0.4">
      <c r="A5" t="s">
        <v>546</v>
      </c>
    </row>
    <row r="7" spans="1:3" x14ac:dyDescent="0.4">
      <c r="B7" t="s">
        <v>572</v>
      </c>
    </row>
    <row r="8" spans="1:3" x14ac:dyDescent="0.4">
      <c r="A8" t="s">
        <v>565</v>
      </c>
      <c r="B8" t="s">
        <v>544</v>
      </c>
      <c r="C8" t="s">
        <v>542</v>
      </c>
    </row>
    <row r="9" spans="1:3" x14ac:dyDescent="0.4">
      <c r="A9" t="s">
        <v>565</v>
      </c>
      <c r="B9" t="s">
        <v>543</v>
      </c>
      <c r="C9" t="s">
        <v>558</v>
      </c>
    </row>
    <row r="10" spans="1:3" x14ac:dyDescent="0.4">
      <c r="A10" t="s">
        <v>565</v>
      </c>
      <c r="B10" t="s">
        <v>545</v>
      </c>
      <c r="C10" t="s">
        <v>592</v>
      </c>
    </row>
    <row r="11" spans="1:3" x14ac:dyDescent="0.4">
      <c r="A11" t="s">
        <v>565</v>
      </c>
      <c r="B11" t="s">
        <v>547</v>
      </c>
      <c r="C11" t="s">
        <v>584</v>
      </c>
    </row>
    <row r="12" spans="1:3" x14ac:dyDescent="0.4">
      <c r="A12" t="s">
        <v>565</v>
      </c>
      <c r="B12" t="s">
        <v>548</v>
      </c>
      <c r="C12" t="s">
        <v>549</v>
      </c>
    </row>
    <row r="14" spans="1:3" x14ac:dyDescent="0.4">
      <c r="B14" t="s">
        <v>559</v>
      </c>
    </row>
    <row r="15" spans="1:3" x14ac:dyDescent="0.4">
      <c r="A15" t="s">
        <v>566</v>
      </c>
      <c r="B15" t="s">
        <v>554</v>
      </c>
      <c r="C15" t="s">
        <v>549</v>
      </c>
    </row>
    <row r="16" spans="1:3" x14ac:dyDescent="0.4">
      <c r="A16" t="s">
        <v>566</v>
      </c>
      <c r="B16" t="s">
        <v>552</v>
      </c>
      <c r="C16" t="s">
        <v>550</v>
      </c>
    </row>
    <row r="17" spans="1:3" x14ac:dyDescent="0.4">
      <c r="A17" t="s">
        <v>566</v>
      </c>
      <c r="B17" t="s">
        <v>553</v>
      </c>
      <c r="C17" t="s">
        <v>556</v>
      </c>
    </row>
    <row r="18" spans="1:3" x14ac:dyDescent="0.4">
      <c r="A18" t="s">
        <v>566</v>
      </c>
      <c r="B18" t="s">
        <v>555</v>
      </c>
      <c r="C18" t="s">
        <v>585</v>
      </c>
    </row>
    <row r="19" spans="1:3" x14ac:dyDescent="0.4">
      <c r="A19" t="s">
        <v>566</v>
      </c>
      <c r="B19" t="s">
        <v>562</v>
      </c>
      <c r="C19" t="s">
        <v>564</v>
      </c>
    </row>
    <row r="21" spans="1:3" x14ac:dyDescent="0.4">
      <c r="B21" t="s">
        <v>569</v>
      </c>
    </row>
    <row r="22" spans="1:3" x14ac:dyDescent="0.4">
      <c r="A22" t="s">
        <v>567</v>
      </c>
      <c r="B22" t="s">
        <v>573</v>
      </c>
      <c r="C22" t="s">
        <v>557</v>
      </c>
    </row>
    <row r="23" spans="1:3" x14ac:dyDescent="0.4">
      <c r="A23" t="s">
        <v>567</v>
      </c>
      <c r="B23" t="s">
        <v>574</v>
      </c>
      <c r="C23" t="s">
        <v>593</v>
      </c>
    </row>
    <row r="24" spans="1:3" x14ac:dyDescent="0.4">
      <c r="A24" t="s">
        <v>567</v>
      </c>
      <c r="B24" t="s">
        <v>575</v>
      </c>
      <c r="C24" t="s">
        <v>560</v>
      </c>
    </row>
    <row r="25" spans="1:3" x14ac:dyDescent="0.4">
      <c r="A25" t="s">
        <v>567</v>
      </c>
      <c r="B25" t="s">
        <v>576</v>
      </c>
      <c r="C25" t="s">
        <v>558</v>
      </c>
    </row>
    <row r="26" spans="1:3" x14ac:dyDescent="0.4">
      <c r="A26" t="s">
        <v>567</v>
      </c>
      <c r="B26" t="s">
        <v>561</v>
      </c>
      <c r="C26" t="s">
        <v>563</v>
      </c>
    </row>
    <row r="28" spans="1:3" x14ac:dyDescent="0.4">
      <c r="B28" t="s">
        <v>570</v>
      </c>
    </row>
    <row r="29" spans="1:3" x14ac:dyDescent="0.4">
      <c r="A29" t="s">
        <v>568</v>
      </c>
      <c r="B29" t="s">
        <v>577</v>
      </c>
      <c r="C29" t="s">
        <v>586</v>
      </c>
    </row>
    <row r="30" spans="1:3" x14ac:dyDescent="0.4">
      <c r="A30" t="s">
        <v>568</v>
      </c>
      <c r="B30" t="s">
        <v>578</v>
      </c>
      <c r="C30" t="s">
        <v>551</v>
      </c>
    </row>
    <row r="31" spans="1:3" x14ac:dyDescent="0.4">
      <c r="A31" t="s">
        <v>568</v>
      </c>
      <c r="B31" t="s">
        <v>579</v>
      </c>
      <c r="C31" t="s">
        <v>542</v>
      </c>
    </row>
    <row r="32" spans="1:3" x14ac:dyDescent="0.4">
      <c r="A32" t="s">
        <v>568</v>
      </c>
      <c r="B32" t="s">
        <v>580</v>
      </c>
      <c r="C32" t="s">
        <v>587</v>
      </c>
    </row>
    <row r="33" spans="1:3" x14ac:dyDescent="0.4">
      <c r="A33" t="s">
        <v>568</v>
      </c>
      <c r="B33" t="s">
        <v>581</v>
      </c>
      <c r="C33" t="s">
        <v>582</v>
      </c>
    </row>
    <row r="35" spans="1:3" x14ac:dyDescent="0.4">
      <c r="A35" t="s">
        <v>591</v>
      </c>
    </row>
    <row r="36" spans="1:3" x14ac:dyDescent="0.4">
      <c r="A36" t="s">
        <v>588</v>
      </c>
    </row>
    <row r="38" spans="1:3" x14ac:dyDescent="0.4">
      <c r="A38" t="s">
        <v>589</v>
      </c>
    </row>
    <row r="39" spans="1:3" x14ac:dyDescent="0.4">
      <c r="A39" t="s">
        <v>590</v>
      </c>
    </row>
    <row r="40" spans="1:3" x14ac:dyDescent="0.4">
      <c r="A40" t="s">
        <v>571</v>
      </c>
    </row>
    <row r="41" spans="1:3" x14ac:dyDescent="0.4">
      <c r="A41" t="s">
        <v>583</v>
      </c>
    </row>
  </sheetData>
  <phoneticPr fontId="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E82BA-2162-4D1A-BF6D-A9248D636709}">
  <dimension ref="B1:D21"/>
  <sheetViews>
    <sheetView workbookViewId="0">
      <selection activeCell="Q13" sqref="Q13"/>
    </sheetView>
  </sheetViews>
  <sheetFormatPr defaultRowHeight="18.75" x14ac:dyDescent="0.4"/>
  <sheetData>
    <row r="1" spans="2:4" x14ac:dyDescent="0.4">
      <c r="B1" t="s">
        <v>594</v>
      </c>
      <c r="C1" t="s">
        <v>595</v>
      </c>
    </row>
    <row r="2" spans="2:4" x14ac:dyDescent="0.4">
      <c r="B2" t="s">
        <v>566</v>
      </c>
      <c r="C2" t="s">
        <v>596</v>
      </c>
    </row>
    <row r="3" spans="2:4" x14ac:dyDescent="0.4">
      <c r="B3" t="s">
        <v>597</v>
      </c>
      <c r="C3" t="s">
        <v>598</v>
      </c>
    </row>
    <row r="4" spans="2:4" x14ac:dyDescent="0.4">
      <c r="B4" t="s">
        <v>599</v>
      </c>
      <c r="C4" t="s">
        <v>600</v>
      </c>
    </row>
    <row r="5" spans="2:4" x14ac:dyDescent="0.4">
      <c r="B5" t="s">
        <v>594</v>
      </c>
      <c r="C5" t="s">
        <v>601</v>
      </c>
    </row>
    <row r="6" spans="2:4" x14ac:dyDescent="0.4">
      <c r="B6" t="s">
        <v>599</v>
      </c>
      <c r="C6" t="s">
        <v>602</v>
      </c>
    </row>
    <row r="7" spans="2:4" x14ac:dyDescent="0.4">
      <c r="B7" t="s">
        <v>603</v>
      </c>
      <c r="C7" t="s">
        <v>604</v>
      </c>
    </row>
    <row r="8" spans="2:4" x14ac:dyDescent="0.4">
      <c r="B8" t="s">
        <v>605</v>
      </c>
      <c r="C8" t="s">
        <v>606</v>
      </c>
    </row>
    <row r="9" spans="2:4" x14ac:dyDescent="0.4">
      <c r="B9" t="s">
        <v>594</v>
      </c>
      <c r="C9" t="s">
        <v>607</v>
      </c>
    </row>
    <row r="11" spans="2:4" x14ac:dyDescent="0.4">
      <c r="B11" t="s">
        <v>608</v>
      </c>
      <c r="C11" t="s">
        <v>609</v>
      </c>
    </row>
    <row r="13" spans="2:4" x14ac:dyDescent="0.4">
      <c r="B13" t="s">
        <v>566</v>
      </c>
      <c r="C13" t="s">
        <v>610</v>
      </c>
    </row>
    <row r="15" spans="2:4" x14ac:dyDescent="0.4">
      <c r="B15" t="s">
        <v>611</v>
      </c>
      <c r="C15" t="s">
        <v>612</v>
      </c>
    </row>
    <row r="16" spans="2:4" x14ac:dyDescent="0.4">
      <c r="B16" t="s">
        <v>613</v>
      </c>
      <c r="C16" t="s">
        <v>614</v>
      </c>
      <c r="D16" t="s">
        <v>615</v>
      </c>
    </row>
    <row r="17" spans="2:4" x14ac:dyDescent="0.4">
      <c r="B17" t="s">
        <v>613</v>
      </c>
      <c r="C17" t="s">
        <v>616</v>
      </c>
      <c r="D17" t="s">
        <v>617</v>
      </c>
    </row>
    <row r="18" spans="2:4" x14ac:dyDescent="0.4">
      <c r="B18" t="s">
        <v>613</v>
      </c>
      <c r="C18" t="s">
        <v>618</v>
      </c>
    </row>
    <row r="19" spans="2:4" x14ac:dyDescent="0.4">
      <c r="B19" t="s">
        <v>594</v>
      </c>
      <c r="C19" t="s">
        <v>619</v>
      </c>
    </row>
    <row r="20" spans="2:4" x14ac:dyDescent="0.4">
      <c r="B20" t="s">
        <v>566</v>
      </c>
      <c r="C20" t="s">
        <v>620</v>
      </c>
    </row>
    <row r="21" spans="2:4" x14ac:dyDescent="0.4">
      <c r="B21" t="s">
        <v>621</v>
      </c>
      <c r="C21" t="s">
        <v>622</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15</vt:i4>
      </vt:variant>
    </vt:vector>
  </HeadingPairs>
  <TitlesOfParts>
    <vt:vector size="15" baseType="lpstr">
      <vt:lpstr>共通ﾃﾞｰﾀ</vt:lpstr>
      <vt:lpstr>メイン進行ルーチン</vt:lpstr>
      <vt:lpstr>tarot</vt:lpstr>
      <vt:lpstr>10紫苑</vt:lpstr>
      <vt:lpstr>15李乃果data</vt:lpstr>
      <vt:lpstr>12蒼樹</vt:lpstr>
      <vt:lpstr>9紅華</vt:lpstr>
      <vt:lpstr>4黄蘭</vt:lpstr>
      <vt:lpstr>9白蓮</vt:lpstr>
      <vt:lpstr>0ななよ</vt:lpstr>
      <vt:lpstr>4ノア</vt:lpstr>
      <vt:lpstr>009リフィエル</vt:lpstr>
      <vt:lpstr>010プロセル</vt:lpstr>
      <vt:lpstr>MKP</vt:lpstr>
      <vt:lpstr>行動ﾊﾟﾀｰﾝ</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裕 長沢</dc:creator>
  <cp:lastModifiedBy>裕 長沢</cp:lastModifiedBy>
  <dcterms:created xsi:type="dcterms:W3CDTF">2026-07-08T01:59:26Z</dcterms:created>
  <dcterms:modified xsi:type="dcterms:W3CDTF">2026-09-06T14:47:30Z</dcterms:modified>
</cp:coreProperties>
</file>